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roman\OneDrive\GitHub\EODshareReval\asx_eod_output\"/>
    </mc:Choice>
  </mc:AlternateContent>
  <xr:revisionPtr revIDLastSave="0" documentId="13_ncr:1_{81757633-55FC-4664-B504-67C24AC483D9}" xr6:coauthVersionLast="47" xr6:coauthVersionMax="47" xr10:uidLastSave="{00000000-0000-0000-0000-000000000000}"/>
  <bookViews>
    <workbookView xWindow="-38520" yWindow="-120" windowWidth="38640" windowHeight="21840" xr2:uid="{4F0D9BD4-D2E7-4144-9C81-4BECD9C036EA}"/>
  </bookViews>
  <sheets>
    <sheet name="Sheet1" sheetId="1" r:id="rId1"/>
  </sheets>
  <definedNames>
    <definedName name="ExternalData_1" localSheetId="0" hidden="1">Sheet1!$C$3:$K$1199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199" i="1" l="1"/>
  <c r="L1198" i="1"/>
  <c r="M1198" i="1" s="1"/>
  <c r="N1198" i="1" s="1"/>
  <c r="L1197" i="1"/>
  <c r="M1197" i="1" s="1"/>
  <c r="N1197" i="1" s="1"/>
  <c r="L1196" i="1"/>
  <c r="M1196" i="1" s="1"/>
  <c r="N1196" i="1" s="1"/>
  <c r="L1195" i="1"/>
  <c r="M1195" i="1" s="1"/>
  <c r="N1195" i="1" s="1"/>
  <c r="L1194" i="1"/>
  <c r="M1194" i="1" s="1"/>
  <c r="N1194" i="1" s="1"/>
  <c r="L1193" i="1"/>
  <c r="M1193" i="1" s="1"/>
  <c r="N1193" i="1" s="1"/>
  <c r="L1192" i="1"/>
  <c r="M1192" i="1" s="1"/>
  <c r="N1192" i="1" s="1"/>
  <c r="L1191" i="1"/>
  <c r="M1191" i="1" s="1"/>
  <c r="N1191" i="1" s="1"/>
  <c r="L1190" i="1"/>
  <c r="M1190" i="1" s="1"/>
  <c r="N1190" i="1" s="1"/>
  <c r="L1189" i="1"/>
  <c r="M1189" i="1" s="1"/>
  <c r="N1189" i="1" s="1"/>
  <c r="L1188" i="1"/>
  <c r="M1188" i="1" s="1"/>
  <c r="N1188" i="1" s="1"/>
  <c r="L1187" i="1"/>
  <c r="M1187" i="1" s="1"/>
  <c r="N1187" i="1" s="1"/>
  <c r="L1186" i="1"/>
  <c r="L1185" i="1"/>
  <c r="M1185" i="1" s="1"/>
  <c r="N1185" i="1" s="1"/>
  <c r="L1184" i="1"/>
  <c r="M1184" i="1" s="1"/>
  <c r="N1184" i="1" s="1"/>
  <c r="L1183" i="1"/>
  <c r="M1183" i="1" s="1"/>
  <c r="N1183" i="1" s="1"/>
  <c r="L1182" i="1"/>
  <c r="M1182" i="1" s="1"/>
  <c r="N1182" i="1" s="1"/>
  <c r="L1181" i="1"/>
  <c r="M1181" i="1" s="1"/>
  <c r="N1181" i="1" s="1"/>
  <c r="L1180" i="1"/>
  <c r="M1180" i="1" s="1"/>
  <c r="N1180" i="1" s="1"/>
  <c r="L1179" i="1"/>
  <c r="M1179" i="1" s="1"/>
  <c r="N1179" i="1" s="1"/>
  <c r="L1178" i="1"/>
  <c r="M1178" i="1" s="1"/>
  <c r="N1178" i="1" s="1"/>
  <c r="L1177" i="1"/>
  <c r="M1177" i="1" s="1"/>
  <c r="N1177" i="1" s="1"/>
  <c r="L1176" i="1"/>
  <c r="M1176" i="1" s="1"/>
  <c r="N1176" i="1" s="1"/>
  <c r="L1175" i="1"/>
  <c r="M1175" i="1" s="1"/>
  <c r="N1175" i="1" s="1"/>
  <c r="L1174" i="1"/>
  <c r="M1174" i="1" s="1"/>
  <c r="N1174" i="1" s="1"/>
  <c r="L1173" i="1"/>
  <c r="L1172" i="1"/>
  <c r="M1172" i="1" s="1"/>
  <c r="N1172" i="1" s="1"/>
  <c r="L1171" i="1"/>
  <c r="M1171" i="1" s="1"/>
  <c r="N1171" i="1" s="1"/>
  <c r="L1170" i="1"/>
  <c r="M1170" i="1" s="1"/>
  <c r="N1170" i="1" s="1"/>
  <c r="L1169" i="1"/>
  <c r="M1169" i="1" s="1"/>
  <c r="N1169" i="1" s="1"/>
  <c r="L1168" i="1"/>
  <c r="M1168" i="1" s="1"/>
  <c r="N1168" i="1" s="1"/>
  <c r="L1167" i="1"/>
  <c r="M1167" i="1" s="1"/>
  <c r="N1167" i="1" s="1"/>
  <c r="L1166" i="1"/>
  <c r="M1166" i="1" s="1"/>
  <c r="N1166" i="1" s="1"/>
  <c r="L1165" i="1"/>
  <c r="M1165" i="1" s="1"/>
  <c r="N1165" i="1" s="1"/>
  <c r="L1164" i="1"/>
  <c r="M1164" i="1" s="1"/>
  <c r="N1164" i="1" s="1"/>
  <c r="L1163" i="1"/>
  <c r="M1163" i="1" s="1"/>
  <c r="N1163" i="1" s="1"/>
  <c r="L1162" i="1"/>
  <c r="M1162" i="1" s="1"/>
  <c r="N1162" i="1" s="1"/>
  <c r="L1161" i="1"/>
  <c r="M1161" i="1" s="1"/>
  <c r="N1161" i="1" s="1"/>
  <c r="L1160" i="1"/>
  <c r="L1159" i="1"/>
  <c r="M1159" i="1" s="1"/>
  <c r="N1159" i="1" s="1"/>
  <c r="L1158" i="1"/>
  <c r="M1158" i="1" s="1"/>
  <c r="N1158" i="1" s="1"/>
  <c r="L1157" i="1"/>
  <c r="M1157" i="1" s="1"/>
  <c r="N1157" i="1" s="1"/>
  <c r="L1156" i="1"/>
  <c r="M1156" i="1" s="1"/>
  <c r="N1156" i="1" s="1"/>
  <c r="L1155" i="1"/>
  <c r="M1155" i="1" s="1"/>
  <c r="N1155" i="1" s="1"/>
  <c r="L1154" i="1"/>
  <c r="M1154" i="1" s="1"/>
  <c r="N1154" i="1" s="1"/>
  <c r="L1153" i="1"/>
  <c r="M1153" i="1" s="1"/>
  <c r="N1153" i="1" s="1"/>
  <c r="L1152" i="1"/>
  <c r="M1152" i="1" s="1"/>
  <c r="N1152" i="1" s="1"/>
  <c r="L1151" i="1"/>
  <c r="M1151" i="1" s="1"/>
  <c r="N1151" i="1" s="1"/>
  <c r="L1150" i="1"/>
  <c r="M1150" i="1" s="1"/>
  <c r="N1150" i="1" s="1"/>
  <c r="L1149" i="1"/>
  <c r="M1149" i="1" s="1"/>
  <c r="N1149" i="1" s="1"/>
  <c r="L1148" i="1"/>
  <c r="M1148" i="1" s="1"/>
  <c r="N1148" i="1" s="1"/>
  <c r="L1147" i="1"/>
  <c r="L1146" i="1"/>
  <c r="M1146" i="1" s="1"/>
  <c r="N1146" i="1" s="1"/>
  <c r="L1145" i="1"/>
  <c r="M1145" i="1" s="1"/>
  <c r="N1145" i="1" s="1"/>
  <c r="L1144" i="1"/>
  <c r="M1144" i="1" s="1"/>
  <c r="N1144" i="1" s="1"/>
  <c r="L1143" i="1"/>
  <c r="M1143" i="1" s="1"/>
  <c r="N1143" i="1" s="1"/>
  <c r="L1142" i="1"/>
  <c r="M1142" i="1" s="1"/>
  <c r="N1142" i="1" s="1"/>
  <c r="L1141" i="1"/>
  <c r="M1141" i="1" s="1"/>
  <c r="N1141" i="1" s="1"/>
  <c r="L1140" i="1"/>
  <c r="M1140" i="1" s="1"/>
  <c r="N1140" i="1" s="1"/>
  <c r="L1139" i="1"/>
  <c r="M1139" i="1" s="1"/>
  <c r="N1139" i="1" s="1"/>
  <c r="L1138" i="1"/>
  <c r="M1138" i="1" s="1"/>
  <c r="N1138" i="1" s="1"/>
  <c r="L1137" i="1"/>
  <c r="M1137" i="1" s="1"/>
  <c r="N1137" i="1" s="1"/>
  <c r="L1136" i="1"/>
  <c r="M1136" i="1" s="1"/>
  <c r="N1136" i="1" s="1"/>
  <c r="L1135" i="1"/>
  <c r="M1135" i="1" s="1"/>
  <c r="N1135" i="1" s="1"/>
  <c r="L1134" i="1"/>
  <c r="L1133" i="1"/>
  <c r="M1133" i="1" s="1"/>
  <c r="N1133" i="1" s="1"/>
  <c r="L1132" i="1"/>
  <c r="M1132" i="1" s="1"/>
  <c r="N1132" i="1" s="1"/>
  <c r="L1131" i="1"/>
  <c r="M1131" i="1" s="1"/>
  <c r="N1131" i="1" s="1"/>
  <c r="L1130" i="1"/>
  <c r="M1130" i="1" s="1"/>
  <c r="N1130" i="1" s="1"/>
  <c r="L1129" i="1"/>
  <c r="M1129" i="1" s="1"/>
  <c r="N1129" i="1" s="1"/>
  <c r="L1128" i="1"/>
  <c r="M1128" i="1" s="1"/>
  <c r="N1128" i="1" s="1"/>
  <c r="L1127" i="1"/>
  <c r="M1127" i="1" s="1"/>
  <c r="N1127" i="1" s="1"/>
  <c r="L1126" i="1"/>
  <c r="M1126" i="1" s="1"/>
  <c r="N1126" i="1" s="1"/>
  <c r="L1125" i="1"/>
  <c r="M1125" i="1" s="1"/>
  <c r="N1125" i="1" s="1"/>
  <c r="L1124" i="1"/>
  <c r="M1124" i="1" s="1"/>
  <c r="N1124" i="1" s="1"/>
  <c r="L1123" i="1"/>
  <c r="M1123" i="1" s="1"/>
  <c r="N1123" i="1" s="1"/>
  <c r="L1122" i="1"/>
  <c r="M1122" i="1" s="1"/>
  <c r="N1122" i="1" s="1"/>
  <c r="L1121" i="1"/>
  <c r="L1120" i="1"/>
  <c r="M1120" i="1" s="1"/>
  <c r="N1120" i="1" s="1"/>
  <c r="L1119" i="1"/>
  <c r="M1119" i="1" s="1"/>
  <c r="N1119" i="1" s="1"/>
  <c r="L1118" i="1"/>
  <c r="M1118" i="1" s="1"/>
  <c r="N1118" i="1" s="1"/>
  <c r="L1117" i="1"/>
  <c r="M1117" i="1" s="1"/>
  <c r="N1117" i="1" s="1"/>
  <c r="L1116" i="1"/>
  <c r="M1116" i="1" s="1"/>
  <c r="N1116" i="1" s="1"/>
  <c r="L1115" i="1"/>
  <c r="M1115" i="1" s="1"/>
  <c r="N1115" i="1" s="1"/>
  <c r="L1114" i="1"/>
  <c r="M1114" i="1" s="1"/>
  <c r="N1114" i="1" s="1"/>
  <c r="L1113" i="1"/>
  <c r="M1113" i="1" s="1"/>
  <c r="N1113" i="1" s="1"/>
  <c r="L1112" i="1"/>
  <c r="M1112" i="1" s="1"/>
  <c r="N1112" i="1" s="1"/>
  <c r="L1111" i="1"/>
  <c r="M1111" i="1" s="1"/>
  <c r="N1111" i="1" s="1"/>
  <c r="L1110" i="1"/>
  <c r="M1110" i="1" s="1"/>
  <c r="N1110" i="1" s="1"/>
  <c r="L1109" i="1"/>
  <c r="M1109" i="1" s="1"/>
  <c r="N1109" i="1" s="1"/>
  <c r="L1108" i="1"/>
  <c r="L1107" i="1"/>
  <c r="M1107" i="1" s="1"/>
  <c r="N1107" i="1" s="1"/>
  <c r="L1106" i="1"/>
  <c r="M1106" i="1" s="1"/>
  <c r="N1106" i="1" s="1"/>
  <c r="L1105" i="1"/>
  <c r="M1105" i="1" s="1"/>
  <c r="N1105" i="1" s="1"/>
  <c r="L1104" i="1"/>
  <c r="M1104" i="1" s="1"/>
  <c r="N1104" i="1" s="1"/>
  <c r="L1103" i="1"/>
  <c r="M1103" i="1" s="1"/>
  <c r="N1103" i="1" s="1"/>
  <c r="L1102" i="1"/>
  <c r="M1102" i="1" s="1"/>
  <c r="N1102" i="1" s="1"/>
  <c r="L1101" i="1"/>
  <c r="M1101" i="1" s="1"/>
  <c r="N1101" i="1" s="1"/>
  <c r="L1100" i="1"/>
  <c r="M1100" i="1" s="1"/>
  <c r="N1100" i="1" s="1"/>
  <c r="L1099" i="1"/>
  <c r="M1099" i="1" s="1"/>
  <c r="N1099" i="1" s="1"/>
  <c r="L1098" i="1"/>
  <c r="M1098" i="1" s="1"/>
  <c r="N1098" i="1" s="1"/>
  <c r="L1097" i="1"/>
  <c r="M1097" i="1" s="1"/>
  <c r="N1097" i="1" s="1"/>
  <c r="L1096" i="1"/>
  <c r="M1096" i="1" s="1"/>
  <c r="N1096" i="1" s="1"/>
  <c r="L1095" i="1"/>
  <c r="L1094" i="1"/>
  <c r="M1094" i="1" s="1"/>
  <c r="N1094" i="1" s="1"/>
  <c r="L1093" i="1"/>
  <c r="M1093" i="1" s="1"/>
  <c r="N1093" i="1" s="1"/>
  <c r="L1092" i="1"/>
  <c r="M1092" i="1" s="1"/>
  <c r="N1092" i="1" s="1"/>
  <c r="L1091" i="1"/>
  <c r="M1091" i="1" s="1"/>
  <c r="N1091" i="1" s="1"/>
  <c r="L1090" i="1"/>
  <c r="M1090" i="1" s="1"/>
  <c r="N1090" i="1" s="1"/>
  <c r="L1089" i="1"/>
  <c r="M1089" i="1" s="1"/>
  <c r="N1089" i="1" s="1"/>
  <c r="L1088" i="1"/>
  <c r="M1088" i="1" s="1"/>
  <c r="N1088" i="1" s="1"/>
  <c r="L1087" i="1"/>
  <c r="M1087" i="1" s="1"/>
  <c r="N1087" i="1" s="1"/>
  <c r="L1086" i="1"/>
  <c r="M1086" i="1" s="1"/>
  <c r="N1086" i="1" s="1"/>
  <c r="L1085" i="1"/>
  <c r="M1085" i="1" s="1"/>
  <c r="N1085" i="1" s="1"/>
  <c r="L1084" i="1"/>
  <c r="M1084" i="1" s="1"/>
  <c r="N1084" i="1" s="1"/>
  <c r="L1083" i="1"/>
  <c r="M1083" i="1" s="1"/>
  <c r="N1083" i="1" s="1"/>
  <c r="L1082" i="1"/>
  <c r="L1081" i="1"/>
  <c r="M1081" i="1" s="1"/>
  <c r="N1081" i="1" s="1"/>
  <c r="L1080" i="1"/>
  <c r="M1080" i="1" s="1"/>
  <c r="N1080" i="1" s="1"/>
  <c r="L1079" i="1"/>
  <c r="M1079" i="1" s="1"/>
  <c r="N1079" i="1" s="1"/>
  <c r="L1078" i="1"/>
  <c r="M1078" i="1" s="1"/>
  <c r="N1078" i="1" s="1"/>
  <c r="L1077" i="1"/>
  <c r="M1077" i="1" s="1"/>
  <c r="N1077" i="1" s="1"/>
  <c r="L1076" i="1"/>
  <c r="M1076" i="1" s="1"/>
  <c r="N1076" i="1" s="1"/>
  <c r="L1075" i="1"/>
  <c r="M1075" i="1" s="1"/>
  <c r="N1075" i="1" s="1"/>
  <c r="L1074" i="1"/>
  <c r="M1074" i="1" s="1"/>
  <c r="N1074" i="1" s="1"/>
  <c r="L1073" i="1"/>
  <c r="M1073" i="1" s="1"/>
  <c r="N1073" i="1" s="1"/>
  <c r="L1072" i="1"/>
  <c r="M1072" i="1" s="1"/>
  <c r="N1072" i="1" s="1"/>
  <c r="L1071" i="1"/>
  <c r="M1071" i="1" s="1"/>
  <c r="N1071" i="1" s="1"/>
  <c r="L1070" i="1"/>
  <c r="M1070" i="1" s="1"/>
  <c r="N1070" i="1" s="1"/>
  <c r="L1069" i="1"/>
  <c r="L1068" i="1"/>
  <c r="M1068" i="1" s="1"/>
  <c r="N1068" i="1" s="1"/>
  <c r="L1067" i="1"/>
  <c r="M1067" i="1" s="1"/>
  <c r="N1067" i="1" s="1"/>
  <c r="L1066" i="1"/>
  <c r="M1066" i="1" s="1"/>
  <c r="N1066" i="1" s="1"/>
  <c r="L1065" i="1"/>
  <c r="M1065" i="1" s="1"/>
  <c r="N1065" i="1" s="1"/>
  <c r="L1064" i="1"/>
  <c r="M1064" i="1" s="1"/>
  <c r="N1064" i="1" s="1"/>
  <c r="L1063" i="1"/>
  <c r="M1063" i="1" s="1"/>
  <c r="N1063" i="1" s="1"/>
  <c r="L1062" i="1"/>
  <c r="M1062" i="1" s="1"/>
  <c r="N1062" i="1" s="1"/>
  <c r="L1061" i="1"/>
  <c r="M1061" i="1" s="1"/>
  <c r="N1061" i="1" s="1"/>
  <c r="L1060" i="1"/>
  <c r="M1060" i="1" s="1"/>
  <c r="N1060" i="1" s="1"/>
  <c r="L1059" i="1"/>
  <c r="M1059" i="1" s="1"/>
  <c r="N1059" i="1" s="1"/>
  <c r="L1058" i="1"/>
  <c r="M1058" i="1" s="1"/>
  <c r="N1058" i="1" s="1"/>
  <c r="L1057" i="1"/>
  <c r="M1057" i="1" s="1"/>
  <c r="N1057" i="1" s="1"/>
  <c r="L1056" i="1"/>
  <c r="L1055" i="1"/>
  <c r="M1055" i="1" s="1"/>
  <c r="N1055" i="1" s="1"/>
  <c r="L1054" i="1"/>
  <c r="M1054" i="1" s="1"/>
  <c r="N1054" i="1" s="1"/>
  <c r="L1053" i="1"/>
  <c r="M1053" i="1" s="1"/>
  <c r="N1053" i="1" s="1"/>
  <c r="L1052" i="1"/>
  <c r="M1052" i="1" s="1"/>
  <c r="N1052" i="1" s="1"/>
  <c r="L1051" i="1"/>
  <c r="M1051" i="1" s="1"/>
  <c r="N1051" i="1" s="1"/>
  <c r="L1050" i="1"/>
  <c r="M1050" i="1" s="1"/>
  <c r="N1050" i="1" s="1"/>
  <c r="L1049" i="1"/>
  <c r="M1049" i="1" s="1"/>
  <c r="N1049" i="1" s="1"/>
  <c r="L1048" i="1"/>
  <c r="M1048" i="1" s="1"/>
  <c r="N1048" i="1" s="1"/>
  <c r="L1047" i="1"/>
  <c r="M1047" i="1" s="1"/>
  <c r="N1047" i="1" s="1"/>
  <c r="L1046" i="1"/>
  <c r="M1046" i="1" s="1"/>
  <c r="N1046" i="1" s="1"/>
  <c r="L1045" i="1"/>
  <c r="M1045" i="1" s="1"/>
  <c r="N1045" i="1" s="1"/>
  <c r="L1044" i="1"/>
  <c r="M1044" i="1" s="1"/>
  <c r="N1044" i="1" s="1"/>
  <c r="L1043" i="1"/>
  <c r="L1042" i="1"/>
  <c r="M1042" i="1" s="1"/>
  <c r="N1042" i="1" s="1"/>
  <c r="L1041" i="1"/>
  <c r="M1041" i="1" s="1"/>
  <c r="N1041" i="1" s="1"/>
  <c r="L1040" i="1"/>
  <c r="M1040" i="1" s="1"/>
  <c r="N1040" i="1" s="1"/>
  <c r="L1039" i="1"/>
  <c r="M1039" i="1" s="1"/>
  <c r="N1039" i="1" s="1"/>
  <c r="L1038" i="1"/>
  <c r="M1038" i="1" s="1"/>
  <c r="N1038" i="1" s="1"/>
  <c r="L1037" i="1"/>
  <c r="M1037" i="1" s="1"/>
  <c r="N1037" i="1" s="1"/>
  <c r="L1036" i="1"/>
  <c r="M1036" i="1" s="1"/>
  <c r="N1036" i="1" s="1"/>
  <c r="L1035" i="1"/>
  <c r="M1035" i="1" s="1"/>
  <c r="N1035" i="1" s="1"/>
  <c r="L1034" i="1"/>
  <c r="M1034" i="1" s="1"/>
  <c r="N1034" i="1" s="1"/>
  <c r="L1033" i="1"/>
  <c r="M1033" i="1" s="1"/>
  <c r="N1033" i="1" s="1"/>
  <c r="L1032" i="1"/>
  <c r="M1032" i="1" s="1"/>
  <c r="N1032" i="1" s="1"/>
  <c r="L1031" i="1"/>
  <c r="M1031" i="1" s="1"/>
  <c r="N1031" i="1" s="1"/>
  <c r="L1030" i="1"/>
  <c r="L1029" i="1"/>
  <c r="M1029" i="1" s="1"/>
  <c r="N1029" i="1" s="1"/>
  <c r="L1028" i="1"/>
  <c r="M1028" i="1" s="1"/>
  <c r="N1028" i="1" s="1"/>
  <c r="L1027" i="1"/>
  <c r="M1027" i="1" s="1"/>
  <c r="N1027" i="1" s="1"/>
  <c r="L1026" i="1"/>
  <c r="M1026" i="1" s="1"/>
  <c r="N1026" i="1" s="1"/>
  <c r="L1025" i="1"/>
  <c r="M1025" i="1" s="1"/>
  <c r="N1025" i="1" s="1"/>
  <c r="L1024" i="1"/>
  <c r="M1024" i="1" s="1"/>
  <c r="N1024" i="1" s="1"/>
  <c r="L1023" i="1"/>
  <c r="M1023" i="1" s="1"/>
  <c r="N1023" i="1" s="1"/>
  <c r="L1022" i="1"/>
  <c r="M1022" i="1" s="1"/>
  <c r="N1022" i="1" s="1"/>
  <c r="L1021" i="1"/>
  <c r="M1021" i="1" s="1"/>
  <c r="N1021" i="1" s="1"/>
  <c r="L1020" i="1"/>
  <c r="M1020" i="1" s="1"/>
  <c r="N1020" i="1" s="1"/>
  <c r="L1019" i="1"/>
  <c r="M1019" i="1" s="1"/>
  <c r="N1019" i="1" s="1"/>
  <c r="L1018" i="1"/>
  <c r="M1018" i="1" s="1"/>
  <c r="N1018" i="1" s="1"/>
  <c r="L1017" i="1"/>
  <c r="L1016" i="1"/>
  <c r="M1016" i="1" s="1"/>
  <c r="N1016" i="1" s="1"/>
  <c r="L1015" i="1"/>
  <c r="M1015" i="1" s="1"/>
  <c r="N1015" i="1" s="1"/>
  <c r="L1014" i="1"/>
  <c r="M1014" i="1" s="1"/>
  <c r="N1014" i="1" s="1"/>
  <c r="L1013" i="1"/>
  <c r="M1013" i="1" s="1"/>
  <c r="N1013" i="1" s="1"/>
  <c r="L1012" i="1"/>
  <c r="M1012" i="1" s="1"/>
  <c r="N1012" i="1" s="1"/>
  <c r="L1011" i="1"/>
  <c r="M1011" i="1" s="1"/>
  <c r="N1011" i="1" s="1"/>
  <c r="L1010" i="1"/>
  <c r="M1010" i="1" s="1"/>
  <c r="N1010" i="1" s="1"/>
  <c r="L1009" i="1"/>
  <c r="M1009" i="1" s="1"/>
  <c r="N1009" i="1" s="1"/>
  <c r="L1008" i="1"/>
  <c r="M1008" i="1" s="1"/>
  <c r="N1008" i="1" s="1"/>
  <c r="L1007" i="1"/>
  <c r="M1007" i="1" s="1"/>
  <c r="N1007" i="1" s="1"/>
  <c r="L1006" i="1"/>
  <c r="M1006" i="1" s="1"/>
  <c r="N1006" i="1" s="1"/>
  <c r="L1005" i="1"/>
  <c r="M1005" i="1" s="1"/>
  <c r="N1005" i="1" s="1"/>
  <c r="L1004" i="1"/>
  <c r="L1003" i="1"/>
  <c r="M1003" i="1" s="1"/>
  <c r="N1003" i="1" s="1"/>
  <c r="L1002" i="1"/>
  <c r="M1002" i="1" s="1"/>
  <c r="N1002" i="1" s="1"/>
  <c r="L1001" i="1"/>
  <c r="M1001" i="1" s="1"/>
  <c r="N1001" i="1" s="1"/>
  <c r="L1000" i="1"/>
  <c r="M1000" i="1" s="1"/>
  <c r="N1000" i="1" s="1"/>
  <c r="L999" i="1"/>
  <c r="M999" i="1" s="1"/>
  <c r="N999" i="1" s="1"/>
  <c r="L998" i="1"/>
  <c r="M998" i="1" s="1"/>
  <c r="N998" i="1" s="1"/>
  <c r="L997" i="1"/>
  <c r="M997" i="1" s="1"/>
  <c r="N997" i="1" s="1"/>
  <c r="L996" i="1"/>
  <c r="M996" i="1" s="1"/>
  <c r="N996" i="1" s="1"/>
  <c r="L995" i="1"/>
  <c r="M995" i="1" s="1"/>
  <c r="N995" i="1" s="1"/>
  <c r="L994" i="1"/>
  <c r="M994" i="1" s="1"/>
  <c r="N994" i="1" s="1"/>
  <c r="L993" i="1"/>
  <c r="M993" i="1" s="1"/>
  <c r="N993" i="1" s="1"/>
  <c r="L992" i="1"/>
  <c r="M992" i="1" s="1"/>
  <c r="N992" i="1" s="1"/>
  <c r="L991" i="1"/>
  <c r="L990" i="1"/>
  <c r="M990" i="1" s="1"/>
  <c r="N990" i="1" s="1"/>
  <c r="L989" i="1"/>
  <c r="M989" i="1" s="1"/>
  <c r="N989" i="1" s="1"/>
  <c r="L988" i="1"/>
  <c r="M988" i="1" s="1"/>
  <c r="N988" i="1" s="1"/>
  <c r="L987" i="1"/>
  <c r="M987" i="1" s="1"/>
  <c r="N987" i="1" s="1"/>
  <c r="L986" i="1"/>
  <c r="M986" i="1" s="1"/>
  <c r="N986" i="1" s="1"/>
  <c r="L985" i="1"/>
  <c r="M985" i="1" s="1"/>
  <c r="N985" i="1" s="1"/>
  <c r="L984" i="1"/>
  <c r="M984" i="1" s="1"/>
  <c r="N984" i="1" s="1"/>
  <c r="L983" i="1"/>
  <c r="M983" i="1" s="1"/>
  <c r="N983" i="1" s="1"/>
  <c r="L982" i="1"/>
  <c r="M982" i="1" s="1"/>
  <c r="N982" i="1" s="1"/>
  <c r="L981" i="1"/>
  <c r="M981" i="1" s="1"/>
  <c r="N981" i="1" s="1"/>
  <c r="L980" i="1"/>
  <c r="M980" i="1" s="1"/>
  <c r="N980" i="1" s="1"/>
  <c r="L979" i="1"/>
  <c r="M979" i="1" s="1"/>
  <c r="N979" i="1" s="1"/>
  <c r="L978" i="1"/>
  <c r="L977" i="1"/>
  <c r="M977" i="1" s="1"/>
  <c r="N977" i="1" s="1"/>
  <c r="L976" i="1"/>
  <c r="M976" i="1" s="1"/>
  <c r="N976" i="1" s="1"/>
  <c r="L975" i="1"/>
  <c r="M975" i="1" s="1"/>
  <c r="N975" i="1" s="1"/>
  <c r="L974" i="1"/>
  <c r="M974" i="1" s="1"/>
  <c r="N974" i="1" s="1"/>
  <c r="L973" i="1"/>
  <c r="M973" i="1" s="1"/>
  <c r="N973" i="1" s="1"/>
  <c r="L972" i="1"/>
  <c r="M972" i="1" s="1"/>
  <c r="N972" i="1" s="1"/>
  <c r="L971" i="1"/>
  <c r="M971" i="1" s="1"/>
  <c r="N971" i="1" s="1"/>
  <c r="L970" i="1"/>
  <c r="M970" i="1" s="1"/>
  <c r="N970" i="1" s="1"/>
  <c r="L969" i="1"/>
  <c r="M969" i="1" s="1"/>
  <c r="N969" i="1" s="1"/>
  <c r="L968" i="1"/>
  <c r="M968" i="1" s="1"/>
  <c r="N968" i="1" s="1"/>
  <c r="L967" i="1"/>
  <c r="M967" i="1" s="1"/>
  <c r="N967" i="1" s="1"/>
  <c r="L966" i="1"/>
  <c r="M966" i="1" s="1"/>
  <c r="N966" i="1" s="1"/>
  <c r="L965" i="1"/>
  <c r="L964" i="1"/>
  <c r="M964" i="1" s="1"/>
  <c r="N964" i="1" s="1"/>
  <c r="L963" i="1"/>
  <c r="M963" i="1" s="1"/>
  <c r="N963" i="1" s="1"/>
  <c r="L962" i="1"/>
  <c r="M962" i="1" s="1"/>
  <c r="N962" i="1" s="1"/>
  <c r="L961" i="1"/>
  <c r="M961" i="1" s="1"/>
  <c r="N961" i="1" s="1"/>
  <c r="L960" i="1"/>
  <c r="M960" i="1" s="1"/>
  <c r="N960" i="1" s="1"/>
  <c r="L959" i="1"/>
  <c r="M959" i="1" s="1"/>
  <c r="N959" i="1" s="1"/>
  <c r="L958" i="1"/>
  <c r="M958" i="1" s="1"/>
  <c r="N958" i="1" s="1"/>
  <c r="L957" i="1"/>
  <c r="M957" i="1" s="1"/>
  <c r="N957" i="1" s="1"/>
  <c r="L956" i="1"/>
  <c r="M956" i="1" s="1"/>
  <c r="N956" i="1" s="1"/>
  <c r="L955" i="1"/>
  <c r="M955" i="1" s="1"/>
  <c r="N955" i="1" s="1"/>
  <c r="L954" i="1"/>
  <c r="M954" i="1" s="1"/>
  <c r="N954" i="1" s="1"/>
  <c r="L953" i="1"/>
  <c r="M953" i="1" s="1"/>
  <c r="N953" i="1" s="1"/>
  <c r="L952" i="1"/>
  <c r="L951" i="1"/>
  <c r="M951" i="1" s="1"/>
  <c r="N951" i="1" s="1"/>
  <c r="L950" i="1"/>
  <c r="M950" i="1" s="1"/>
  <c r="N950" i="1" s="1"/>
  <c r="L949" i="1"/>
  <c r="M949" i="1" s="1"/>
  <c r="N949" i="1" s="1"/>
  <c r="L948" i="1"/>
  <c r="M948" i="1" s="1"/>
  <c r="N948" i="1" s="1"/>
  <c r="L947" i="1"/>
  <c r="M947" i="1" s="1"/>
  <c r="N947" i="1" s="1"/>
  <c r="L946" i="1"/>
  <c r="M946" i="1" s="1"/>
  <c r="N946" i="1" s="1"/>
  <c r="L945" i="1"/>
  <c r="M945" i="1" s="1"/>
  <c r="N945" i="1" s="1"/>
  <c r="L944" i="1"/>
  <c r="M944" i="1" s="1"/>
  <c r="N944" i="1" s="1"/>
  <c r="L943" i="1"/>
  <c r="M943" i="1" s="1"/>
  <c r="N943" i="1" s="1"/>
  <c r="L942" i="1"/>
  <c r="M942" i="1" s="1"/>
  <c r="N942" i="1" s="1"/>
  <c r="L941" i="1"/>
  <c r="M941" i="1" s="1"/>
  <c r="N941" i="1" s="1"/>
  <c r="L940" i="1"/>
  <c r="M940" i="1" s="1"/>
  <c r="N940" i="1" s="1"/>
  <c r="L939" i="1"/>
  <c r="L938" i="1"/>
  <c r="M938" i="1" s="1"/>
  <c r="N938" i="1" s="1"/>
  <c r="L937" i="1"/>
  <c r="M937" i="1" s="1"/>
  <c r="N937" i="1" s="1"/>
  <c r="L936" i="1"/>
  <c r="M936" i="1" s="1"/>
  <c r="N936" i="1" s="1"/>
  <c r="L935" i="1"/>
  <c r="M935" i="1" s="1"/>
  <c r="N935" i="1" s="1"/>
  <c r="L934" i="1"/>
  <c r="M934" i="1" s="1"/>
  <c r="N934" i="1" s="1"/>
  <c r="L933" i="1"/>
  <c r="M933" i="1" s="1"/>
  <c r="N933" i="1" s="1"/>
  <c r="L932" i="1"/>
  <c r="M932" i="1" s="1"/>
  <c r="N932" i="1" s="1"/>
  <c r="L931" i="1"/>
  <c r="M931" i="1" s="1"/>
  <c r="N931" i="1" s="1"/>
  <c r="L930" i="1"/>
  <c r="M930" i="1" s="1"/>
  <c r="N930" i="1" s="1"/>
  <c r="L929" i="1"/>
  <c r="M929" i="1" s="1"/>
  <c r="N929" i="1" s="1"/>
  <c r="L928" i="1"/>
  <c r="M928" i="1" s="1"/>
  <c r="N928" i="1" s="1"/>
  <c r="L927" i="1"/>
  <c r="M927" i="1" s="1"/>
  <c r="N927" i="1" s="1"/>
  <c r="L926" i="1"/>
  <c r="L925" i="1"/>
  <c r="M925" i="1" s="1"/>
  <c r="N925" i="1" s="1"/>
  <c r="L924" i="1"/>
  <c r="M924" i="1" s="1"/>
  <c r="N924" i="1" s="1"/>
  <c r="L923" i="1"/>
  <c r="M923" i="1" s="1"/>
  <c r="N923" i="1" s="1"/>
  <c r="L922" i="1"/>
  <c r="M922" i="1" s="1"/>
  <c r="N922" i="1" s="1"/>
  <c r="L921" i="1"/>
  <c r="M921" i="1" s="1"/>
  <c r="N921" i="1" s="1"/>
  <c r="L920" i="1"/>
  <c r="M920" i="1" s="1"/>
  <c r="N920" i="1" s="1"/>
  <c r="L919" i="1"/>
  <c r="M919" i="1" s="1"/>
  <c r="N919" i="1" s="1"/>
  <c r="L918" i="1"/>
  <c r="M918" i="1" s="1"/>
  <c r="N918" i="1" s="1"/>
  <c r="L917" i="1"/>
  <c r="M917" i="1" s="1"/>
  <c r="N917" i="1" s="1"/>
  <c r="L916" i="1"/>
  <c r="M916" i="1" s="1"/>
  <c r="N916" i="1" s="1"/>
  <c r="L915" i="1"/>
  <c r="M915" i="1" s="1"/>
  <c r="N915" i="1" s="1"/>
  <c r="L914" i="1"/>
  <c r="M914" i="1" s="1"/>
  <c r="N914" i="1" s="1"/>
  <c r="L913" i="1"/>
  <c r="L912" i="1"/>
  <c r="M912" i="1" s="1"/>
  <c r="N912" i="1" s="1"/>
  <c r="L911" i="1"/>
  <c r="M911" i="1" s="1"/>
  <c r="N911" i="1" s="1"/>
  <c r="L910" i="1"/>
  <c r="M910" i="1" s="1"/>
  <c r="N910" i="1" s="1"/>
  <c r="L909" i="1"/>
  <c r="M909" i="1" s="1"/>
  <c r="N909" i="1" s="1"/>
  <c r="L908" i="1"/>
  <c r="M908" i="1" s="1"/>
  <c r="N908" i="1" s="1"/>
  <c r="L907" i="1"/>
  <c r="M907" i="1" s="1"/>
  <c r="N907" i="1" s="1"/>
  <c r="L906" i="1"/>
  <c r="M906" i="1" s="1"/>
  <c r="N906" i="1" s="1"/>
  <c r="L905" i="1"/>
  <c r="M905" i="1" s="1"/>
  <c r="N905" i="1" s="1"/>
  <c r="L904" i="1"/>
  <c r="M904" i="1" s="1"/>
  <c r="N904" i="1" s="1"/>
  <c r="L903" i="1"/>
  <c r="M903" i="1" s="1"/>
  <c r="N903" i="1" s="1"/>
  <c r="L902" i="1"/>
  <c r="M902" i="1" s="1"/>
  <c r="N902" i="1" s="1"/>
  <c r="L901" i="1"/>
  <c r="M901" i="1" s="1"/>
  <c r="N901" i="1" s="1"/>
  <c r="L900" i="1"/>
  <c r="L899" i="1"/>
  <c r="M899" i="1" s="1"/>
  <c r="N899" i="1" s="1"/>
  <c r="L898" i="1"/>
  <c r="M898" i="1" s="1"/>
  <c r="N898" i="1" s="1"/>
  <c r="L897" i="1"/>
  <c r="M897" i="1" s="1"/>
  <c r="N897" i="1" s="1"/>
  <c r="L896" i="1"/>
  <c r="M896" i="1" s="1"/>
  <c r="N896" i="1" s="1"/>
  <c r="L895" i="1"/>
  <c r="M895" i="1" s="1"/>
  <c r="N895" i="1" s="1"/>
  <c r="L894" i="1"/>
  <c r="M894" i="1" s="1"/>
  <c r="N894" i="1" s="1"/>
  <c r="L893" i="1"/>
  <c r="M893" i="1" s="1"/>
  <c r="N893" i="1" s="1"/>
  <c r="L892" i="1"/>
  <c r="M892" i="1" s="1"/>
  <c r="N892" i="1" s="1"/>
  <c r="L891" i="1"/>
  <c r="M891" i="1" s="1"/>
  <c r="N891" i="1" s="1"/>
  <c r="L890" i="1"/>
  <c r="M890" i="1" s="1"/>
  <c r="N890" i="1" s="1"/>
  <c r="L889" i="1"/>
  <c r="M889" i="1" s="1"/>
  <c r="N889" i="1" s="1"/>
  <c r="L888" i="1"/>
  <c r="M888" i="1" s="1"/>
  <c r="N888" i="1" s="1"/>
  <c r="L887" i="1"/>
  <c r="L886" i="1"/>
  <c r="M886" i="1" s="1"/>
  <c r="N886" i="1" s="1"/>
  <c r="L885" i="1"/>
  <c r="M885" i="1" s="1"/>
  <c r="N885" i="1" s="1"/>
  <c r="L884" i="1"/>
  <c r="M884" i="1" s="1"/>
  <c r="N884" i="1" s="1"/>
  <c r="L883" i="1"/>
  <c r="M883" i="1" s="1"/>
  <c r="N883" i="1" s="1"/>
  <c r="L882" i="1"/>
  <c r="M882" i="1" s="1"/>
  <c r="N882" i="1" s="1"/>
  <c r="L881" i="1"/>
  <c r="M881" i="1" s="1"/>
  <c r="N881" i="1" s="1"/>
  <c r="L880" i="1"/>
  <c r="M880" i="1" s="1"/>
  <c r="N880" i="1" s="1"/>
  <c r="L879" i="1"/>
  <c r="M879" i="1" s="1"/>
  <c r="N879" i="1" s="1"/>
  <c r="L878" i="1"/>
  <c r="M878" i="1" s="1"/>
  <c r="N878" i="1" s="1"/>
  <c r="L877" i="1"/>
  <c r="M877" i="1" s="1"/>
  <c r="N877" i="1" s="1"/>
  <c r="L876" i="1"/>
  <c r="M876" i="1" s="1"/>
  <c r="N876" i="1" s="1"/>
  <c r="L875" i="1"/>
  <c r="M875" i="1" s="1"/>
  <c r="N875" i="1" s="1"/>
  <c r="L874" i="1"/>
  <c r="L873" i="1"/>
  <c r="M873" i="1" s="1"/>
  <c r="N873" i="1" s="1"/>
  <c r="L872" i="1"/>
  <c r="M872" i="1" s="1"/>
  <c r="N872" i="1" s="1"/>
  <c r="L871" i="1"/>
  <c r="M871" i="1" s="1"/>
  <c r="N871" i="1" s="1"/>
  <c r="L870" i="1"/>
  <c r="M870" i="1" s="1"/>
  <c r="N870" i="1" s="1"/>
  <c r="L869" i="1"/>
  <c r="M869" i="1" s="1"/>
  <c r="N869" i="1" s="1"/>
  <c r="L868" i="1"/>
  <c r="M868" i="1" s="1"/>
  <c r="N868" i="1" s="1"/>
  <c r="L867" i="1"/>
  <c r="M867" i="1" s="1"/>
  <c r="N867" i="1" s="1"/>
  <c r="L866" i="1"/>
  <c r="M866" i="1" s="1"/>
  <c r="N866" i="1" s="1"/>
  <c r="L865" i="1"/>
  <c r="M865" i="1" s="1"/>
  <c r="N865" i="1" s="1"/>
  <c r="L864" i="1"/>
  <c r="M864" i="1" s="1"/>
  <c r="N864" i="1" s="1"/>
  <c r="L863" i="1"/>
  <c r="M863" i="1" s="1"/>
  <c r="N863" i="1" s="1"/>
  <c r="L862" i="1"/>
  <c r="M862" i="1" s="1"/>
  <c r="N862" i="1" s="1"/>
  <c r="L861" i="1"/>
  <c r="L860" i="1"/>
  <c r="M860" i="1" s="1"/>
  <c r="N860" i="1" s="1"/>
  <c r="L859" i="1"/>
  <c r="M859" i="1" s="1"/>
  <c r="N859" i="1" s="1"/>
  <c r="L858" i="1"/>
  <c r="M858" i="1" s="1"/>
  <c r="N858" i="1" s="1"/>
  <c r="L857" i="1"/>
  <c r="M857" i="1" s="1"/>
  <c r="N857" i="1" s="1"/>
  <c r="L856" i="1"/>
  <c r="M856" i="1" s="1"/>
  <c r="N856" i="1" s="1"/>
  <c r="L855" i="1"/>
  <c r="M855" i="1" s="1"/>
  <c r="N855" i="1" s="1"/>
  <c r="L854" i="1"/>
  <c r="M854" i="1" s="1"/>
  <c r="N854" i="1" s="1"/>
  <c r="L853" i="1"/>
  <c r="M853" i="1" s="1"/>
  <c r="N853" i="1" s="1"/>
  <c r="L852" i="1"/>
  <c r="M852" i="1" s="1"/>
  <c r="N852" i="1" s="1"/>
  <c r="L851" i="1"/>
  <c r="M851" i="1" s="1"/>
  <c r="N851" i="1" s="1"/>
  <c r="L850" i="1"/>
  <c r="M850" i="1" s="1"/>
  <c r="N850" i="1" s="1"/>
  <c r="L849" i="1"/>
  <c r="M849" i="1" s="1"/>
  <c r="N849" i="1" s="1"/>
  <c r="L848" i="1"/>
  <c r="L847" i="1"/>
  <c r="M847" i="1" s="1"/>
  <c r="N847" i="1" s="1"/>
  <c r="L846" i="1"/>
  <c r="M846" i="1" s="1"/>
  <c r="N846" i="1" s="1"/>
  <c r="L845" i="1"/>
  <c r="M845" i="1" s="1"/>
  <c r="N845" i="1" s="1"/>
  <c r="L844" i="1"/>
  <c r="M844" i="1" s="1"/>
  <c r="N844" i="1" s="1"/>
  <c r="L843" i="1"/>
  <c r="M843" i="1" s="1"/>
  <c r="N843" i="1" s="1"/>
  <c r="L842" i="1"/>
  <c r="M842" i="1" s="1"/>
  <c r="N842" i="1" s="1"/>
  <c r="L841" i="1"/>
  <c r="M841" i="1" s="1"/>
  <c r="N841" i="1" s="1"/>
  <c r="L840" i="1"/>
  <c r="M840" i="1" s="1"/>
  <c r="N840" i="1" s="1"/>
  <c r="L839" i="1"/>
  <c r="M839" i="1" s="1"/>
  <c r="N839" i="1" s="1"/>
  <c r="L838" i="1"/>
  <c r="M838" i="1" s="1"/>
  <c r="N838" i="1" s="1"/>
  <c r="L837" i="1"/>
  <c r="M837" i="1" s="1"/>
  <c r="N837" i="1" s="1"/>
  <c r="L836" i="1"/>
  <c r="M836" i="1" s="1"/>
  <c r="N836" i="1" s="1"/>
  <c r="L835" i="1"/>
  <c r="L834" i="1"/>
  <c r="M834" i="1" s="1"/>
  <c r="N834" i="1" s="1"/>
  <c r="L833" i="1"/>
  <c r="M833" i="1" s="1"/>
  <c r="N833" i="1" s="1"/>
  <c r="L832" i="1"/>
  <c r="M832" i="1" s="1"/>
  <c r="N832" i="1" s="1"/>
  <c r="L831" i="1"/>
  <c r="M831" i="1" s="1"/>
  <c r="N831" i="1" s="1"/>
  <c r="L830" i="1"/>
  <c r="M830" i="1" s="1"/>
  <c r="N830" i="1" s="1"/>
  <c r="L829" i="1"/>
  <c r="M829" i="1" s="1"/>
  <c r="N829" i="1" s="1"/>
  <c r="L828" i="1"/>
  <c r="M828" i="1" s="1"/>
  <c r="N828" i="1" s="1"/>
  <c r="L827" i="1"/>
  <c r="M827" i="1" s="1"/>
  <c r="N827" i="1" s="1"/>
  <c r="L826" i="1"/>
  <c r="M826" i="1" s="1"/>
  <c r="N826" i="1" s="1"/>
  <c r="L825" i="1"/>
  <c r="M825" i="1" s="1"/>
  <c r="N825" i="1" s="1"/>
  <c r="L824" i="1"/>
  <c r="M824" i="1" s="1"/>
  <c r="N824" i="1" s="1"/>
  <c r="L823" i="1"/>
  <c r="M823" i="1" s="1"/>
  <c r="N823" i="1" s="1"/>
  <c r="L822" i="1"/>
  <c r="L821" i="1"/>
  <c r="M821" i="1" s="1"/>
  <c r="N821" i="1" s="1"/>
  <c r="L820" i="1"/>
  <c r="M820" i="1" s="1"/>
  <c r="N820" i="1" s="1"/>
  <c r="L819" i="1"/>
  <c r="M819" i="1" s="1"/>
  <c r="N819" i="1" s="1"/>
  <c r="L818" i="1"/>
  <c r="M818" i="1" s="1"/>
  <c r="N818" i="1" s="1"/>
  <c r="L817" i="1"/>
  <c r="M817" i="1" s="1"/>
  <c r="N817" i="1" s="1"/>
  <c r="L816" i="1"/>
  <c r="M816" i="1" s="1"/>
  <c r="N816" i="1" s="1"/>
  <c r="L815" i="1"/>
  <c r="M815" i="1" s="1"/>
  <c r="N815" i="1" s="1"/>
  <c r="L814" i="1"/>
  <c r="M814" i="1" s="1"/>
  <c r="N814" i="1" s="1"/>
  <c r="L813" i="1"/>
  <c r="M813" i="1" s="1"/>
  <c r="N813" i="1" s="1"/>
  <c r="L812" i="1"/>
  <c r="M812" i="1" s="1"/>
  <c r="N812" i="1" s="1"/>
  <c r="L811" i="1"/>
  <c r="M811" i="1" s="1"/>
  <c r="N811" i="1" s="1"/>
  <c r="L810" i="1"/>
  <c r="M810" i="1" s="1"/>
  <c r="N810" i="1" s="1"/>
  <c r="L809" i="1"/>
  <c r="L808" i="1"/>
  <c r="M808" i="1" s="1"/>
  <c r="N808" i="1" s="1"/>
  <c r="L807" i="1"/>
  <c r="M807" i="1" s="1"/>
  <c r="N807" i="1" s="1"/>
  <c r="L806" i="1"/>
  <c r="M806" i="1" s="1"/>
  <c r="N806" i="1" s="1"/>
  <c r="L805" i="1"/>
  <c r="M805" i="1" s="1"/>
  <c r="N805" i="1" s="1"/>
  <c r="L804" i="1"/>
  <c r="M804" i="1" s="1"/>
  <c r="N804" i="1" s="1"/>
  <c r="L803" i="1"/>
  <c r="M803" i="1" s="1"/>
  <c r="N803" i="1" s="1"/>
  <c r="L802" i="1"/>
  <c r="M802" i="1" s="1"/>
  <c r="N802" i="1" s="1"/>
  <c r="L801" i="1"/>
  <c r="M801" i="1" s="1"/>
  <c r="N801" i="1" s="1"/>
  <c r="L800" i="1"/>
  <c r="M800" i="1" s="1"/>
  <c r="N800" i="1" s="1"/>
  <c r="L799" i="1"/>
  <c r="M799" i="1" s="1"/>
  <c r="N799" i="1" s="1"/>
  <c r="L798" i="1"/>
  <c r="M798" i="1" s="1"/>
  <c r="N798" i="1" s="1"/>
  <c r="L797" i="1"/>
  <c r="M797" i="1" s="1"/>
  <c r="N797" i="1" s="1"/>
  <c r="L796" i="1"/>
  <c r="L795" i="1"/>
  <c r="M795" i="1" s="1"/>
  <c r="N795" i="1" s="1"/>
  <c r="L794" i="1"/>
  <c r="M794" i="1" s="1"/>
  <c r="N794" i="1" s="1"/>
  <c r="L793" i="1"/>
  <c r="M793" i="1" s="1"/>
  <c r="N793" i="1" s="1"/>
  <c r="L792" i="1"/>
  <c r="M792" i="1" s="1"/>
  <c r="N792" i="1" s="1"/>
  <c r="L791" i="1"/>
  <c r="M791" i="1" s="1"/>
  <c r="N791" i="1" s="1"/>
  <c r="L790" i="1"/>
  <c r="M790" i="1" s="1"/>
  <c r="N790" i="1" s="1"/>
  <c r="L789" i="1"/>
  <c r="M789" i="1" s="1"/>
  <c r="N789" i="1" s="1"/>
  <c r="L788" i="1"/>
  <c r="M788" i="1" s="1"/>
  <c r="N788" i="1" s="1"/>
  <c r="L787" i="1"/>
  <c r="M787" i="1" s="1"/>
  <c r="N787" i="1" s="1"/>
  <c r="L786" i="1"/>
  <c r="M786" i="1" s="1"/>
  <c r="N786" i="1" s="1"/>
  <c r="L785" i="1"/>
  <c r="M785" i="1" s="1"/>
  <c r="N785" i="1" s="1"/>
  <c r="L784" i="1"/>
  <c r="M784" i="1" s="1"/>
  <c r="N784" i="1" s="1"/>
  <c r="L783" i="1"/>
  <c r="L782" i="1"/>
  <c r="M782" i="1" s="1"/>
  <c r="N782" i="1" s="1"/>
  <c r="L781" i="1"/>
  <c r="M781" i="1" s="1"/>
  <c r="N781" i="1" s="1"/>
  <c r="L780" i="1"/>
  <c r="M780" i="1" s="1"/>
  <c r="N780" i="1" s="1"/>
  <c r="L779" i="1"/>
  <c r="M779" i="1" s="1"/>
  <c r="N779" i="1" s="1"/>
  <c r="L778" i="1"/>
  <c r="M778" i="1" s="1"/>
  <c r="N778" i="1" s="1"/>
  <c r="L777" i="1"/>
  <c r="M777" i="1" s="1"/>
  <c r="N777" i="1" s="1"/>
  <c r="L776" i="1"/>
  <c r="M776" i="1" s="1"/>
  <c r="N776" i="1" s="1"/>
  <c r="L775" i="1"/>
  <c r="M775" i="1" s="1"/>
  <c r="N775" i="1" s="1"/>
  <c r="L774" i="1"/>
  <c r="M774" i="1" s="1"/>
  <c r="N774" i="1" s="1"/>
  <c r="L773" i="1"/>
  <c r="M773" i="1" s="1"/>
  <c r="N773" i="1" s="1"/>
  <c r="L772" i="1"/>
  <c r="M772" i="1" s="1"/>
  <c r="N772" i="1" s="1"/>
  <c r="L771" i="1"/>
  <c r="M771" i="1" s="1"/>
  <c r="N771" i="1" s="1"/>
  <c r="L770" i="1"/>
  <c r="L769" i="1"/>
  <c r="M769" i="1" s="1"/>
  <c r="N769" i="1" s="1"/>
  <c r="L768" i="1"/>
  <c r="M768" i="1" s="1"/>
  <c r="N768" i="1" s="1"/>
  <c r="L767" i="1"/>
  <c r="M767" i="1" s="1"/>
  <c r="N767" i="1" s="1"/>
  <c r="L766" i="1"/>
  <c r="M766" i="1" s="1"/>
  <c r="N766" i="1" s="1"/>
  <c r="L765" i="1"/>
  <c r="M765" i="1" s="1"/>
  <c r="N765" i="1" s="1"/>
  <c r="L764" i="1"/>
  <c r="M764" i="1" s="1"/>
  <c r="N764" i="1" s="1"/>
  <c r="L763" i="1"/>
  <c r="M763" i="1" s="1"/>
  <c r="N763" i="1" s="1"/>
  <c r="L762" i="1"/>
  <c r="M762" i="1" s="1"/>
  <c r="N762" i="1" s="1"/>
  <c r="L761" i="1"/>
  <c r="M761" i="1" s="1"/>
  <c r="N761" i="1" s="1"/>
  <c r="L760" i="1"/>
  <c r="M760" i="1" s="1"/>
  <c r="N760" i="1" s="1"/>
  <c r="L759" i="1"/>
  <c r="M759" i="1" s="1"/>
  <c r="N759" i="1" s="1"/>
  <c r="L758" i="1"/>
  <c r="M758" i="1" s="1"/>
  <c r="N758" i="1" s="1"/>
  <c r="L757" i="1"/>
  <c r="L756" i="1"/>
  <c r="M756" i="1" s="1"/>
  <c r="N756" i="1" s="1"/>
  <c r="L755" i="1"/>
  <c r="M755" i="1" s="1"/>
  <c r="N755" i="1" s="1"/>
  <c r="L754" i="1"/>
  <c r="M754" i="1" s="1"/>
  <c r="N754" i="1" s="1"/>
  <c r="L753" i="1"/>
  <c r="M753" i="1" s="1"/>
  <c r="N753" i="1" s="1"/>
  <c r="L752" i="1"/>
  <c r="M752" i="1" s="1"/>
  <c r="N752" i="1" s="1"/>
  <c r="L751" i="1"/>
  <c r="M751" i="1" s="1"/>
  <c r="N751" i="1" s="1"/>
  <c r="L750" i="1"/>
  <c r="M750" i="1" s="1"/>
  <c r="N750" i="1" s="1"/>
  <c r="L749" i="1"/>
  <c r="M749" i="1" s="1"/>
  <c r="N749" i="1" s="1"/>
  <c r="L748" i="1"/>
  <c r="M748" i="1" s="1"/>
  <c r="N748" i="1" s="1"/>
  <c r="L747" i="1"/>
  <c r="M747" i="1" s="1"/>
  <c r="N747" i="1" s="1"/>
  <c r="L746" i="1"/>
  <c r="M746" i="1" s="1"/>
  <c r="N746" i="1" s="1"/>
  <c r="L745" i="1"/>
  <c r="M745" i="1" s="1"/>
  <c r="N745" i="1" s="1"/>
  <c r="L744" i="1"/>
  <c r="L743" i="1"/>
  <c r="M743" i="1" s="1"/>
  <c r="N743" i="1" s="1"/>
  <c r="L742" i="1"/>
  <c r="M742" i="1" s="1"/>
  <c r="N742" i="1" s="1"/>
  <c r="L741" i="1"/>
  <c r="M741" i="1" s="1"/>
  <c r="N741" i="1" s="1"/>
  <c r="L740" i="1"/>
  <c r="M740" i="1" s="1"/>
  <c r="N740" i="1" s="1"/>
  <c r="L739" i="1"/>
  <c r="M739" i="1" s="1"/>
  <c r="N739" i="1" s="1"/>
  <c r="L738" i="1"/>
  <c r="M738" i="1" s="1"/>
  <c r="N738" i="1" s="1"/>
  <c r="L737" i="1"/>
  <c r="M737" i="1" s="1"/>
  <c r="N737" i="1" s="1"/>
  <c r="L736" i="1"/>
  <c r="M736" i="1" s="1"/>
  <c r="N736" i="1" s="1"/>
  <c r="L735" i="1"/>
  <c r="M735" i="1" s="1"/>
  <c r="N735" i="1" s="1"/>
  <c r="L734" i="1"/>
  <c r="M734" i="1" s="1"/>
  <c r="N734" i="1" s="1"/>
  <c r="L733" i="1"/>
  <c r="M733" i="1" s="1"/>
  <c r="N733" i="1" s="1"/>
  <c r="L732" i="1"/>
  <c r="M732" i="1" s="1"/>
  <c r="N732" i="1" s="1"/>
  <c r="L731" i="1"/>
  <c r="L730" i="1"/>
  <c r="M730" i="1" s="1"/>
  <c r="N730" i="1" s="1"/>
  <c r="L729" i="1"/>
  <c r="M729" i="1" s="1"/>
  <c r="N729" i="1" s="1"/>
  <c r="L728" i="1"/>
  <c r="M728" i="1" s="1"/>
  <c r="N728" i="1" s="1"/>
  <c r="L727" i="1"/>
  <c r="M727" i="1" s="1"/>
  <c r="N727" i="1" s="1"/>
  <c r="L726" i="1"/>
  <c r="M726" i="1" s="1"/>
  <c r="N726" i="1" s="1"/>
  <c r="L725" i="1"/>
  <c r="M725" i="1" s="1"/>
  <c r="N725" i="1" s="1"/>
  <c r="L724" i="1"/>
  <c r="M724" i="1" s="1"/>
  <c r="N724" i="1" s="1"/>
  <c r="L723" i="1"/>
  <c r="M723" i="1" s="1"/>
  <c r="N723" i="1" s="1"/>
  <c r="L722" i="1"/>
  <c r="M722" i="1" s="1"/>
  <c r="N722" i="1" s="1"/>
  <c r="L721" i="1"/>
  <c r="M721" i="1" s="1"/>
  <c r="N721" i="1" s="1"/>
  <c r="L720" i="1"/>
  <c r="M720" i="1" s="1"/>
  <c r="N720" i="1" s="1"/>
  <c r="L719" i="1"/>
  <c r="M719" i="1" s="1"/>
  <c r="N719" i="1" s="1"/>
  <c r="L718" i="1"/>
  <c r="L717" i="1"/>
  <c r="M717" i="1" s="1"/>
  <c r="N717" i="1" s="1"/>
  <c r="L716" i="1"/>
  <c r="M716" i="1" s="1"/>
  <c r="N716" i="1" s="1"/>
  <c r="L715" i="1"/>
  <c r="M715" i="1" s="1"/>
  <c r="N715" i="1" s="1"/>
  <c r="L714" i="1"/>
  <c r="M714" i="1" s="1"/>
  <c r="N714" i="1" s="1"/>
  <c r="L713" i="1"/>
  <c r="M713" i="1" s="1"/>
  <c r="N713" i="1" s="1"/>
  <c r="L712" i="1"/>
  <c r="M712" i="1" s="1"/>
  <c r="N712" i="1" s="1"/>
  <c r="L711" i="1"/>
  <c r="M711" i="1" s="1"/>
  <c r="N711" i="1" s="1"/>
  <c r="L710" i="1"/>
  <c r="M710" i="1" s="1"/>
  <c r="N710" i="1" s="1"/>
  <c r="L709" i="1"/>
  <c r="M709" i="1" s="1"/>
  <c r="N709" i="1" s="1"/>
  <c r="L708" i="1"/>
  <c r="M708" i="1" s="1"/>
  <c r="N708" i="1" s="1"/>
  <c r="L707" i="1"/>
  <c r="M707" i="1" s="1"/>
  <c r="N707" i="1" s="1"/>
  <c r="L706" i="1"/>
  <c r="M706" i="1" s="1"/>
  <c r="N706" i="1" s="1"/>
  <c r="L705" i="1"/>
  <c r="L704" i="1"/>
  <c r="M704" i="1" s="1"/>
  <c r="N704" i="1" s="1"/>
  <c r="L703" i="1"/>
  <c r="M703" i="1" s="1"/>
  <c r="N703" i="1" s="1"/>
  <c r="L702" i="1"/>
  <c r="M702" i="1" s="1"/>
  <c r="N702" i="1" s="1"/>
  <c r="L701" i="1"/>
  <c r="M701" i="1" s="1"/>
  <c r="N701" i="1" s="1"/>
  <c r="L700" i="1"/>
  <c r="M700" i="1" s="1"/>
  <c r="N700" i="1" s="1"/>
  <c r="L699" i="1"/>
  <c r="M699" i="1" s="1"/>
  <c r="N699" i="1" s="1"/>
  <c r="L698" i="1"/>
  <c r="M698" i="1" s="1"/>
  <c r="N698" i="1" s="1"/>
  <c r="L697" i="1"/>
  <c r="M697" i="1" s="1"/>
  <c r="N697" i="1" s="1"/>
  <c r="L696" i="1"/>
  <c r="M696" i="1" s="1"/>
  <c r="N696" i="1" s="1"/>
  <c r="L695" i="1"/>
  <c r="M695" i="1" s="1"/>
  <c r="N695" i="1" s="1"/>
  <c r="L694" i="1"/>
  <c r="M694" i="1" s="1"/>
  <c r="N694" i="1" s="1"/>
  <c r="L693" i="1"/>
  <c r="M693" i="1" s="1"/>
  <c r="N693" i="1" s="1"/>
  <c r="L692" i="1"/>
  <c r="L691" i="1"/>
  <c r="M691" i="1" s="1"/>
  <c r="N691" i="1" s="1"/>
  <c r="L690" i="1"/>
  <c r="M690" i="1" s="1"/>
  <c r="N690" i="1" s="1"/>
  <c r="L689" i="1"/>
  <c r="M689" i="1" s="1"/>
  <c r="N689" i="1" s="1"/>
  <c r="L688" i="1"/>
  <c r="M688" i="1" s="1"/>
  <c r="N688" i="1" s="1"/>
  <c r="L687" i="1"/>
  <c r="M687" i="1" s="1"/>
  <c r="N687" i="1" s="1"/>
  <c r="L686" i="1"/>
  <c r="M686" i="1" s="1"/>
  <c r="N686" i="1" s="1"/>
  <c r="L685" i="1"/>
  <c r="M685" i="1" s="1"/>
  <c r="N685" i="1" s="1"/>
  <c r="L684" i="1"/>
  <c r="M684" i="1" s="1"/>
  <c r="N684" i="1" s="1"/>
  <c r="L683" i="1"/>
  <c r="M683" i="1" s="1"/>
  <c r="N683" i="1" s="1"/>
  <c r="L682" i="1"/>
  <c r="M682" i="1" s="1"/>
  <c r="N682" i="1" s="1"/>
  <c r="L681" i="1"/>
  <c r="M681" i="1" s="1"/>
  <c r="N681" i="1" s="1"/>
  <c r="L680" i="1"/>
  <c r="M680" i="1" s="1"/>
  <c r="N680" i="1" s="1"/>
  <c r="L679" i="1"/>
  <c r="L678" i="1"/>
  <c r="M678" i="1" s="1"/>
  <c r="N678" i="1" s="1"/>
  <c r="L677" i="1"/>
  <c r="M677" i="1" s="1"/>
  <c r="N677" i="1" s="1"/>
  <c r="L676" i="1"/>
  <c r="M676" i="1" s="1"/>
  <c r="N676" i="1" s="1"/>
  <c r="L675" i="1"/>
  <c r="M675" i="1" s="1"/>
  <c r="N675" i="1" s="1"/>
  <c r="L674" i="1"/>
  <c r="M674" i="1" s="1"/>
  <c r="N674" i="1" s="1"/>
  <c r="L673" i="1"/>
  <c r="M673" i="1" s="1"/>
  <c r="N673" i="1" s="1"/>
  <c r="L672" i="1"/>
  <c r="M672" i="1" s="1"/>
  <c r="N672" i="1" s="1"/>
  <c r="L671" i="1"/>
  <c r="M671" i="1" s="1"/>
  <c r="N671" i="1" s="1"/>
  <c r="L670" i="1"/>
  <c r="M670" i="1" s="1"/>
  <c r="N670" i="1" s="1"/>
  <c r="L669" i="1"/>
  <c r="M669" i="1" s="1"/>
  <c r="N669" i="1" s="1"/>
  <c r="L668" i="1"/>
  <c r="M668" i="1" s="1"/>
  <c r="N668" i="1" s="1"/>
  <c r="L667" i="1"/>
  <c r="M667" i="1" s="1"/>
  <c r="N667" i="1" s="1"/>
  <c r="L666" i="1"/>
  <c r="L665" i="1"/>
  <c r="M665" i="1" s="1"/>
  <c r="N665" i="1" s="1"/>
  <c r="L664" i="1"/>
  <c r="M664" i="1" s="1"/>
  <c r="N664" i="1" s="1"/>
  <c r="L663" i="1"/>
  <c r="M663" i="1" s="1"/>
  <c r="N663" i="1" s="1"/>
  <c r="L662" i="1"/>
  <c r="M662" i="1" s="1"/>
  <c r="N662" i="1" s="1"/>
  <c r="L661" i="1"/>
  <c r="M661" i="1" s="1"/>
  <c r="N661" i="1" s="1"/>
  <c r="L660" i="1"/>
  <c r="M660" i="1" s="1"/>
  <c r="N660" i="1" s="1"/>
  <c r="L659" i="1"/>
  <c r="M659" i="1" s="1"/>
  <c r="N659" i="1" s="1"/>
  <c r="L658" i="1"/>
  <c r="M658" i="1" s="1"/>
  <c r="N658" i="1" s="1"/>
  <c r="L657" i="1"/>
  <c r="M657" i="1" s="1"/>
  <c r="N657" i="1" s="1"/>
  <c r="L656" i="1"/>
  <c r="M656" i="1" s="1"/>
  <c r="N656" i="1" s="1"/>
  <c r="L655" i="1"/>
  <c r="M655" i="1" s="1"/>
  <c r="N655" i="1" s="1"/>
  <c r="L654" i="1"/>
  <c r="M654" i="1" s="1"/>
  <c r="N654" i="1" s="1"/>
  <c r="L653" i="1"/>
  <c r="L652" i="1"/>
  <c r="M652" i="1" s="1"/>
  <c r="N652" i="1" s="1"/>
  <c r="L651" i="1"/>
  <c r="M651" i="1" s="1"/>
  <c r="N651" i="1" s="1"/>
  <c r="L650" i="1"/>
  <c r="M650" i="1" s="1"/>
  <c r="N650" i="1" s="1"/>
  <c r="L649" i="1"/>
  <c r="M649" i="1" s="1"/>
  <c r="N649" i="1" s="1"/>
  <c r="L648" i="1"/>
  <c r="M648" i="1" s="1"/>
  <c r="N648" i="1" s="1"/>
  <c r="L647" i="1"/>
  <c r="M647" i="1" s="1"/>
  <c r="N647" i="1" s="1"/>
  <c r="L646" i="1"/>
  <c r="M646" i="1" s="1"/>
  <c r="N646" i="1" s="1"/>
  <c r="L645" i="1"/>
  <c r="M645" i="1" s="1"/>
  <c r="N645" i="1" s="1"/>
  <c r="L644" i="1"/>
  <c r="M644" i="1" s="1"/>
  <c r="N644" i="1" s="1"/>
  <c r="L643" i="1"/>
  <c r="M643" i="1" s="1"/>
  <c r="N643" i="1" s="1"/>
  <c r="L642" i="1"/>
  <c r="M642" i="1" s="1"/>
  <c r="N642" i="1" s="1"/>
  <c r="L641" i="1"/>
  <c r="M641" i="1" s="1"/>
  <c r="N641" i="1" s="1"/>
  <c r="L640" i="1"/>
  <c r="L639" i="1"/>
  <c r="M639" i="1" s="1"/>
  <c r="N639" i="1" s="1"/>
  <c r="L638" i="1"/>
  <c r="M638" i="1" s="1"/>
  <c r="N638" i="1" s="1"/>
  <c r="L637" i="1"/>
  <c r="M637" i="1" s="1"/>
  <c r="N637" i="1" s="1"/>
  <c r="L636" i="1"/>
  <c r="M636" i="1" s="1"/>
  <c r="N636" i="1" s="1"/>
  <c r="L635" i="1"/>
  <c r="M635" i="1" s="1"/>
  <c r="N635" i="1" s="1"/>
  <c r="L634" i="1"/>
  <c r="M634" i="1" s="1"/>
  <c r="N634" i="1" s="1"/>
  <c r="L633" i="1"/>
  <c r="M633" i="1" s="1"/>
  <c r="N633" i="1" s="1"/>
  <c r="L632" i="1"/>
  <c r="M632" i="1" s="1"/>
  <c r="N632" i="1" s="1"/>
  <c r="L631" i="1"/>
  <c r="M631" i="1" s="1"/>
  <c r="N631" i="1" s="1"/>
  <c r="L630" i="1"/>
  <c r="M630" i="1" s="1"/>
  <c r="N630" i="1" s="1"/>
  <c r="L629" i="1"/>
  <c r="M629" i="1" s="1"/>
  <c r="N629" i="1" s="1"/>
  <c r="L628" i="1"/>
  <c r="M628" i="1" s="1"/>
  <c r="N628" i="1" s="1"/>
  <c r="L627" i="1"/>
  <c r="L626" i="1"/>
  <c r="M626" i="1" s="1"/>
  <c r="N626" i="1" s="1"/>
  <c r="L625" i="1"/>
  <c r="M625" i="1" s="1"/>
  <c r="N625" i="1" s="1"/>
  <c r="L624" i="1"/>
  <c r="M624" i="1" s="1"/>
  <c r="N624" i="1" s="1"/>
  <c r="L623" i="1"/>
  <c r="M623" i="1" s="1"/>
  <c r="N623" i="1" s="1"/>
  <c r="L622" i="1"/>
  <c r="M622" i="1" s="1"/>
  <c r="N622" i="1" s="1"/>
  <c r="L621" i="1"/>
  <c r="M621" i="1" s="1"/>
  <c r="N621" i="1" s="1"/>
  <c r="L620" i="1"/>
  <c r="M620" i="1" s="1"/>
  <c r="N620" i="1" s="1"/>
  <c r="L619" i="1"/>
  <c r="M619" i="1" s="1"/>
  <c r="N619" i="1" s="1"/>
  <c r="L618" i="1"/>
  <c r="M618" i="1" s="1"/>
  <c r="N618" i="1" s="1"/>
  <c r="L617" i="1"/>
  <c r="M617" i="1" s="1"/>
  <c r="N617" i="1" s="1"/>
  <c r="L616" i="1"/>
  <c r="M616" i="1" s="1"/>
  <c r="N616" i="1" s="1"/>
  <c r="L615" i="1"/>
  <c r="M615" i="1" s="1"/>
  <c r="N615" i="1" s="1"/>
  <c r="L614" i="1"/>
  <c r="L613" i="1"/>
  <c r="M613" i="1" s="1"/>
  <c r="N613" i="1" s="1"/>
  <c r="L612" i="1"/>
  <c r="M612" i="1" s="1"/>
  <c r="N612" i="1" s="1"/>
  <c r="L611" i="1"/>
  <c r="M611" i="1" s="1"/>
  <c r="N611" i="1" s="1"/>
  <c r="L610" i="1"/>
  <c r="M610" i="1" s="1"/>
  <c r="N610" i="1" s="1"/>
  <c r="L609" i="1"/>
  <c r="M609" i="1" s="1"/>
  <c r="N609" i="1" s="1"/>
  <c r="L608" i="1"/>
  <c r="M608" i="1" s="1"/>
  <c r="N608" i="1" s="1"/>
  <c r="L607" i="1"/>
  <c r="M607" i="1" s="1"/>
  <c r="N607" i="1" s="1"/>
  <c r="L606" i="1"/>
  <c r="M606" i="1" s="1"/>
  <c r="N606" i="1" s="1"/>
  <c r="L605" i="1"/>
  <c r="M605" i="1" s="1"/>
  <c r="N605" i="1" s="1"/>
  <c r="L604" i="1"/>
  <c r="M604" i="1" s="1"/>
  <c r="N604" i="1" s="1"/>
  <c r="L603" i="1"/>
  <c r="M603" i="1" s="1"/>
  <c r="N603" i="1" s="1"/>
  <c r="L602" i="1"/>
  <c r="M602" i="1" s="1"/>
  <c r="N602" i="1" s="1"/>
  <c r="L601" i="1"/>
  <c r="L600" i="1"/>
  <c r="M600" i="1" s="1"/>
  <c r="N600" i="1" s="1"/>
  <c r="L599" i="1"/>
  <c r="M599" i="1" s="1"/>
  <c r="N599" i="1" s="1"/>
  <c r="L598" i="1"/>
  <c r="M598" i="1" s="1"/>
  <c r="N598" i="1" s="1"/>
  <c r="L597" i="1"/>
  <c r="M597" i="1" s="1"/>
  <c r="N597" i="1" s="1"/>
  <c r="L596" i="1"/>
  <c r="M596" i="1" s="1"/>
  <c r="N596" i="1" s="1"/>
  <c r="L595" i="1"/>
  <c r="M595" i="1" s="1"/>
  <c r="N595" i="1" s="1"/>
  <c r="L594" i="1"/>
  <c r="M594" i="1" s="1"/>
  <c r="N594" i="1" s="1"/>
  <c r="L593" i="1"/>
  <c r="M593" i="1" s="1"/>
  <c r="N593" i="1" s="1"/>
  <c r="L592" i="1"/>
  <c r="M592" i="1" s="1"/>
  <c r="N592" i="1" s="1"/>
  <c r="L591" i="1"/>
  <c r="M591" i="1" s="1"/>
  <c r="N591" i="1" s="1"/>
  <c r="L590" i="1"/>
  <c r="M590" i="1" s="1"/>
  <c r="N590" i="1" s="1"/>
  <c r="L589" i="1"/>
  <c r="M589" i="1" s="1"/>
  <c r="N589" i="1" s="1"/>
  <c r="L588" i="1"/>
  <c r="L587" i="1"/>
  <c r="M587" i="1" s="1"/>
  <c r="N587" i="1" s="1"/>
  <c r="L586" i="1"/>
  <c r="M586" i="1" s="1"/>
  <c r="N586" i="1" s="1"/>
  <c r="L585" i="1"/>
  <c r="M585" i="1" s="1"/>
  <c r="N585" i="1" s="1"/>
  <c r="L584" i="1"/>
  <c r="M584" i="1" s="1"/>
  <c r="N584" i="1" s="1"/>
  <c r="L583" i="1"/>
  <c r="M583" i="1" s="1"/>
  <c r="N583" i="1" s="1"/>
  <c r="L582" i="1"/>
  <c r="M582" i="1" s="1"/>
  <c r="N582" i="1" s="1"/>
  <c r="L581" i="1"/>
  <c r="M581" i="1" s="1"/>
  <c r="N581" i="1" s="1"/>
  <c r="L580" i="1"/>
  <c r="M580" i="1" s="1"/>
  <c r="N580" i="1" s="1"/>
  <c r="L579" i="1"/>
  <c r="M579" i="1" s="1"/>
  <c r="N579" i="1" s="1"/>
  <c r="L578" i="1"/>
  <c r="M578" i="1" s="1"/>
  <c r="N578" i="1" s="1"/>
  <c r="L577" i="1"/>
  <c r="M577" i="1" s="1"/>
  <c r="N577" i="1" s="1"/>
  <c r="L576" i="1"/>
  <c r="M576" i="1" s="1"/>
  <c r="N576" i="1" s="1"/>
  <c r="L575" i="1"/>
  <c r="L574" i="1"/>
  <c r="M574" i="1" s="1"/>
  <c r="N574" i="1" s="1"/>
  <c r="L573" i="1"/>
  <c r="M573" i="1" s="1"/>
  <c r="N573" i="1" s="1"/>
  <c r="L572" i="1"/>
  <c r="M572" i="1" s="1"/>
  <c r="N572" i="1" s="1"/>
  <c r="L571" i="1"/>
  <c r="M571" i="1" s="1"/>
  <c r="N571" i="1" s="1"/>
  <c r="L570" i="1"/>
  <c r="M570" i="1" s="1"/>
  <c r="N570" i="1" s="1"/>
  <c r="L569" i="1"/>
  <c r="M569" i="1" s="1"/>
  <c r="N569" i="1" s="1"/>
  <c r="L568" i="1"/>
  <c r="M568" i="1" s="1"/>
  <c r="N568" i="1" s="1"/>
  <c r="L567" i="1"/>
  <c r="M567" i="1" s="1"/>
  <c r="N567" i="1" s="1"/>
  <c r="L566" i="1"/>
  <c r="M566" i="1" s="1"/>
  <c r="N566" i="1" s="1"/>
  <c r="L565" i="1"/>
  <c r="M565" i="1" s="1"/>
  <c r="N565" i="1" s="1"/>
  <c r="L564" i="1"/>
  <c r="M564" i="1" s="1"/>
  <c r="N564" i="1" s="1"/>
  <c r="L563" i="1"/>
  <c r="M563" i="1" s="1"/>
  <c r="N563" i="1" s="1"/>
  <c r="L562" i="1"/>
  <c r="L561" i="1"/>
  <c r="M561" i="1" s="1"/>
  <c r="N561" i="1" s="1"/>
  <c r="L560" i="1"/>
  <c r="M560" i="1" s="1"/>
  <c r="N560" i="1" s="1"/>
  <c r="L559" i="1"/>
  <c r="M559" i="1" s="1"/>
  <c r="N559" i="1" s="1"/>
  <c r="L558" i="1"/>
  <c r="M558" i="1" s="1"/>
  <c r="N558" i="1" s="1"/>
  <c r="L557" i="1"/>
  <c r="M557" i="1" s="1"/>
  <c r="N557" i="1" s="1"/>
  <c r="L556" i="1"/>
  <c r="M556" i="1" s="1"/>
  <c r="N556" i="1" s="1"/>
  <c r="L555" i="1"/>
  <c r="M555" i="1" s="1"/>
  <c r="N555" i="1" s="1"/>
  <c r="L554" i="1"/>
  <c r="M554" i="1" s="1"/>
  <c r="N554" i="1" s="1"/>
  <c r="L553" i="1"/>
  <c r="M553" i="1" s="1"/>
  <c r="N553" i="1" s="1"/>
  <c r="L552" i="1"/>
  <c r="M552" i="1" s="1"/>
  <c r="N552" i="1" s="1"/>
  <c r="L551" i="1"/>
  <c r="M551" i="1" s="1"/>
  <c r="N551" i="1" s="1"/>
  <c r="L550" i="1"/>
  <c r="M550" i="1" s="1"/>
  <c r="N550" i="1" s="1"/>
  <c r="L549" i="1"/>
  <c r="L548" i="1"/>
  <c r="M548" i="1" s="1"/>
  <c r="N548" i="1" s="1"/>
  <c r="L547" i="1"/>
  <c r="M547" i="1" s="1"/>
  <c r="N547" i="1" s="1"/>
  <c r="L546" i="1"/>
  <c r="M546" i="1" s="1"/>
  <c r="N546" i="1" s="1"/>
  <c r="L545" i="1"/>
  <c r="M545" i="1" s="1"/>
  <c r="N545" i="1" s="1"/>
  <c r="L544" i="1"/>
  <c r="M544" i="1" s="1"/>
  <c r="N544" i="1" s="1"/>
  <c r="L543" i="1"/>
  <c r="M543" i="1" s="1"/>
  <c r="N543" i="1" s="1"/>
  <c r="L542" i="1"/>
  <c r="M542" i="1" s="1"/>
  <c r="N542" i="1" s="1"/>
  <c r="L541" i="1"/>
  <c r="M541" i="1" s="1"/>
  <c r="N541" i="1" s="1"/>
  <c r="L540" i="1"/>
  <c r="M540" i="1" s="1"/>
  <c r="N540" i="1" s="1"/>
  <c r="L539" i="1"/>
  <c r="M539" i="1" s="1"/>
  <c r="N539" i="1" s="1"/>
  <c r="L538" i="1"/>
  <c r="M538" i="1" s="1"/>
  <c r="N538" i="1" s="1"/>
  <c r="L537" i="1"/>
  <c r="M537" i="1" s="1"/>
  <c r="N537" i="1" s="1"/>
  <c r="L536" i="1"/>
  <c r="L535" i="1"/>
  <c r="M535" i="1" s="1"/>
  <c r="N535" i="1" s="1"/>
  <c r="L534" i="1"/>
  <c r="M534" i="1" s="1"/>
  <c r="N534" i="1" s="1"/>
  <c r="L533" i="1"/>
  <c r="M533" i="1" s="1"/>
  <c r="N533" i="1" s="1"/>
  <c r="L532" i="1"/>
  <c r="M532" i="1" s="1"/>
  <c r="N532" i="1" s="1"/>
  <c r="L531" i="1"/>
  <c r="M531" i="1" s="1"/>
  <c r="N531" i="1" s="1"/>
  <c r="L530" i="1"/>
  <c r="M530" i="1" s="1"/>
  <c r="N530" i="1" s="1"/>
  <c r="L529" i="1"/>
  <c r="M529" i="1" s="1"/>
  <c r="N529" i="1" s="1"/>
  <c r="L528" i="1"/>
  <c r="M528" i="1" s="1"/>
  <c r="N528" i="1" s="1"/>
  <c r="L527" i="1"/>
  <c r="M527" i="1" s="1"/>
  <c r="N527" i="1" s="1"/>
  <c r="L526" i="1"/>
  <c r="M526" i="1" s="1"/>
  <c r="N526" i="1" s="1"/>
  <c r="L525" i="1"/>
  <c r="M525" i="1" s="1"/>
  <c r="N525" i="1" s="1"/>
  <c r="L524" i="1"/>
  <c r="M524" i="1" s="1"/>
  <c r="N524" i="1" s="1"/>
  <c r="L523" i="1"/>
  <c r="L522" i="1"/>
  <c r="M522" i="1" s="1"/>
  <c r="N522" i="1" s="1"/>
  <c r="L521" i="1"/>
  <c r="M521" i="1" s="1"/>
  <c r="N521" i="1" s="1"/>
  <c r="L520" i="1"/>
  <c r="M520" i="1" s="1"/>
  <c r="N520" i="1" s="1"/>
  <c r="L519" i="1"/>
  <c r="M519" i="1" s="1"/>
  <c r="N519" i="1" s="1"/>
  <c r="L518" i="1"/>
  <c r="M518" i="1" s="1"/>
  <c r="N518" i="1" s="1"/>
  <c r="L517" i="1"/>
  <c r="M517" i="1" s="1"/>
  <c r="N517" i="1" s="1"/>
  <c r="L516" i="1"/>
  <c r="M516" i="1" s="1"/>
  <c r="N516" i="1" s="1"/>
  <c r="L515" i="1"/>
  <c r="M515" i="1" s="1"/>
  <c r="N515" i="1" s="1"/>
  <c r="L514" i="1"/>
  <c r="M514" i="1" s="1"/>
  <c r="N514" i="1" s="1"/>
  <c r="L513" i="1"/>
  <c r="M513" i="1" s="1"/>
  <c r="N513" i="1" s="1"/>
  <c r="L512" i="1"/>
  <c r="M512" i="1" s="1"/>
  <c r="N512" i="1" s="1"/>
  <c r="L511" i="1"/>
  <c r="M511" i="1" s="1"/>
  <c r="N511" i="1" s="1"/>
  <c r="L510" i="1"/>
  <c r="L509" i="1"/>
  <c r="M509" i="1" s="1"/>
  <c r="N509" i="1" s="1"/>
  <c r="L508" i="1"/>
  <c r="M508" i="1" s="1"/>
  <c r="N508" i="1" s="1"/>
  <c r="L507" i="1"/>
  <c r="M507" i="1" s="1"/>
  <c r="N507" i="1" s="1"/>
  <c r="L506" i="1"/>
  <c r="M506" i="1" s="1"/>
  <c r="N506" i="1" s="1"/>
  <c r="L505" i="1"/>
  <c r="M505" i="1" s="1"/>
  <c r="N505" i="1" s="1"/>
  <c r="L504" i="1"/>
  <c r="M504" i="1" s="1"/>
  <c r="N504" i="1" s="1"/>
  <c r="L503" i="1"/>
  <c r="M503" i="1" s="1"/>
  <c r="N503" i="1" s="1"/>
  <c r="L502" i="1"/>
  <c r="M502" i="1" s="1"/>
  <c r="N502" i="1" s="1"/>
  <c r="L501" i="1"/>
  <c r="M501" i="1" s="1"/>
  <c r="N501" i="1" s="1"/>
  <c r="L500" i="1"/>
  <c r="M500" i="1" s="1"/>
  <c r="N500" i="1" s="1"/>
  <c r="L499" i="1"/>
  <c r="M499" i="1" s="1"/>
  <c r="N499" i="1" s="1"/>
  <c r="L498" i="1"/>
  <c r="M498" i="1" s="1"/>
  <c r="N498" i="1" s="1"/>
  <c r="L497" i="1"/>
  <c r="L496" i="1"/>
  <c r="M496" i="1" s="1"/>
  <c r="N496" i="1" s="1"/>
  <c r="L495" i="1"/>
  <c r="M495" i="1" s="1"/>
  <c r="N495" i="1" s="1"/>
  <c r="L494" i="1"/>
  <c r="M494" i="1" s="1"/>
  <c r="N494" i="1" s="1"/>
  <c r="L493" i="1"/>
  <c r="M493" i="1" s="1"/>
  <c r="N493" i="1" s="1"/>
  <c r="L492" i="1"/>
  <c r="M492" i="1" s="1"/>
  <c r="N492" i="1" s="1"/>
  <c r="L491" i="1"/>
  <c r="M491" i="1" s="1"/>
  <c r="N491" i="1" s="1"/>
  <c r="L490" i="1"/>
  <c r="M490" i="1" s="1"/>
  <c r="N490" i="1" s="1"/>
  <c r="L489" i="1"/>
  <c r="M489" i="1" s="1"/>
  <c r="N489" i="1" s="1"/>
  <c r="L488" i="1"/>
  <c r="M488" i="1" s="1"/>
  <c r="N488" i="1" s="1"/>
  <c r="L487" i="1"/>
  <c r="M487" i="1" s="1"/>
  <c r="N487" i="1" s="1"/>
  <c r="L486" i="1"/>
  <c r="M486" i="1" s="1"/>
  <c r="N486" i="1" s="1"/>
  <c r="L485" i="1"/>
  <c r="M485" i="1" s="1"/>
  <c r="N485" i="1" s="1"/>
  <c r="L484" i="1"/>
  <c r="L483" i="1"/>
  <c r="M483" i="1" s="1"/>
  <c r="N483" i="1" s="1"/>
  <c r="L482" i="1"/>
  <c r="M482" i="1" s="1"/>
  <c r="N482" i="1" s="1"/>
  <c r="L481" i="1"/>
  <c r="M481" i="1" s="1"/>
  <c r="N481" i="1" s="1"/>
  <c r="L480" i="1"/>
  <c r="M480" i="1" s="1"/>
  <c r="N480" i="1" s="1"/>
  <c r="L479" i="1"/>
  <c r="M479" i="1" s="1"/>
  <c r="N479" i="1" s="1"/>
  <c r="L478" i="1"/>
  <c r="M478" i="1" s="1"/>
  <c r="N478" i="1" s="1"/>
  <c r="L477" i="1"/>
  <c r="M477" i="1" s="1"/>
  <c r="N477" i="1" s="1"/>
  <c r="L476" i="1"/>
  <c r="M476" i="1" s="1"/>
  <c r="N476" i="1" s="1"/>
  <c r="L475" i="1"/>
  <c r="M475" i="1" s="1"/>
  <c r="N475" i="1" s="1"/>
  <c r="L474" i="1"/>
  <c r="M474" i="1" s="1"/>
  <c r="N474" i="1" s="1"/>
  <c r="L473" i="1"/>
  <c r="M473" i="1" s="1"/>
  <c r="N473" i="1" s="1"/>
  <c r="L472" i="1"/>
  <c r="M472" i="1" s="1"/>
  <c r="N472" i="1" s="1"/>
  <c r="L471" i="1"/>
  <c r="L470" i="1"/>
  <c r="M470" i="1" s="1"/>
  <c r="N470" i="1" s="1"/>
  <c r="L469" i="1"/>
  <c r="M469" i="1" s="1"/>
  <c r="N469" i="1" s="1"/>
  <c r="L468" i="1"/>
  <c r="M468" i="1" s="1"/>
  <c r="N468" i="1" s="1"/>
  <c r="L467" i="1"/>
  <c r="M467" i="1" s="1"/>
  <c r="N467" i="1" s="1"/>
  <c r="L466" i="1"/>
  <c r="M466" i="1" s="1"/>
  <c r="N466" i="1" s="1"/>
  <c r="L465" i="1"/>
  <c r="M465" i="1" s="1"/>
  <c r="N465" i="1" s="1"/>
  <c r="L464" i="1"/>
  <c r="M464" i="1" s="1"/>
  <c r="N464" i="1" s="1"/>
  <c r="L463" i="1"/>
  <c r="M463" i="1" s="1"/>
  <c r="N463" i="1" s="1"/>
  <c r="L462" i="1"/>
  <c r="M462" i="1" s="1"/>
  <c r="N462" i="1" s="1"/>
  <c r="L461" i="1"/>
  <c r="M461" i="1" s="1"/>
  <c r="N461" i="1" s="1"/>
  <c r="L460" i="1"/>
  <c r="M460" i="1" s="1"/>
  <c r="N460" i="1" s="1"/>
  <c r="L459" i="1"/>
  <c r="M459" i="1" s="1"/>
  <c r="N459" i="1" s="1"/>
  <c r="L458" i="1"/>
  <c r="L457" i="1"/>
  <c r="M457" i="1" s="1"/>
  <c r="N457" i="1" s="1"/>
  <c r="L456" i="1"/>
  <c r="M456" i="1" s="1"/>
  <c r="N456" i="1" s="1"/>
  <c r="L455" i="1"/>
  <c r="M455" i="1" s="1"/>
  <c r="N455" i="1" s="1"/>
  <c r="L454" i="1"/>
  <c r="M454" i="1" s="1"/>
  <c r="N454" i="1" s="1"/>
  <c r="L453" i="1"/>
  <c r="M453" i="1" s="1"/>
  <c r="N453" i="1" s="1"/>
  <c r="L452" i="1"/>
  <c r="M452" i="1" s="1"/>
  <c r="N452" i="1" s="1"/>
  <c r="L451" i="1"/>
  <c r="M451" i="1" s="1"/>
  <c r="N451" i="1" s="1"/>
  <c r="L450" i="1"/>
  <c r="M450" i="1" s="1"/>
  <c r="N450" i="1" s="1"/>
  <c r="L449" i="1"/>
  <c r="M449" i="1" s="1"/>
  <c r="N449" i="1" s="1"/>
  <c r="L448" i="1"/>
  <c r="M448" i="1" s="1"/>
  <c r="N448" i="1" s="1"/>
  <c r="L447" i="1"/>
  <c r="M447" i="1" s="1"/>
  <c r="N447" i="1" s="1"/>
  <c r="L446" i="1"/>
  <c r="M446" i="1" s="1"/>
  <c r="N446" i="1" s="1"/>
  <c r="L445" i="1"/>
  <c r="L444" i="1"/>
  <c r="M444" i="1" s="1"/>
  <c r="N444" i="1" s="1"/>
  <c r="L443" i="1"/>
  <c r="M443" i="1" s="1"/>
  <c r="N443" i="1" s="1"/>
  <c r="L442" i="1"/>
  <c r="M442" i="1" s="1"/>
  <c r="N442" i="1" s="1"/>
  <c r="L441" i="1"/>
  <c r="M441" i="1" s="1"/>
  <c r="N441" i="1" s="1"/>
  <c r="L440" i="1"/>
  <c r="M440" i="1" s="1"/>
  <c r="N440" i="1" s="1"/>
  <c r="L439" i="1"/>
  <c r="M439" i="1" s="1"/>
  <c r="N439" i="1" s="1"/>
  <c r="L438" i="1"/>
  <c r="M438" i="1" s="1"/>
  <c r="N438" i="1" s="1"/>
  <c r="L437" i="1"/>
  <c r="M437" i="1" s="1"/>
  <c r="N437" i="1" s="1"/>
  <c r="L436" i="1"/>
  <c r="M436" i="1" s="1"/>
  <c r="N436" i="1" s="1"/>
  <c r="L435" i="1"/>
  <c r="M435" i="1" s="1"/>
  <c r="N435" i="1" s="1"/>
  <c r="L434" i="1"/>
  <c r="M434" i="1" s="1"/>
  <c r="N434" i="1" s="1"/>
  <c r="L433" i="1"/>
  <c r="M433" i="1" s="1"/>
  <c r="N433" i="1" s="1"/>
  <c r="L432" i="1"/>
  <c r="L431" i="1"/>
  <c r="M431" i="1" s="1"/>
  <c r="N431" i="1" s="1"/>
  <c r="L430" i="1"/>
  <c r="M430" i="1" s="1"/>
  <c r="N430" i="1" s="1"/>
  <c r="L429" i="1"/>
  <c r="M429" i="1" s="1"/>
  <c r="N429" i="1" s="1"/>
  <c r="L428" i="1"/>
  <c r="M428" i="1" s="1"/>
  <c r="N428" i="1" s="1"/>
  <c r="L427" i="1"/>
  <c r="M427" i="1" s="1"/>
  <c r="N427" i="1" s="1"/>
  <c r="L426" i="1"/>
  <c r="M426" i="1" s="1"/>
  <c r="N426" i="1" s="1"/>
  <c r="L425" i="1"/>
  <c r="M425" i="1" s="1"/>
  <c r="N425" i="1" s="1"/>
  <c r="L424" i="1"/>
  <c r="M424" i="1" s="1"/>
  <c r="N424" i="1" s="1"/>
  <c r="L423" i="1"/>
  <c r="M423" i="1" s="1"/>
  <c r="N423" i="1" s="1"/>
  <c r="L422" i="1"/>
  <c r="M422" i="1" s="1"/>
  <c r="N422" i="1" s="1"/>
  <c r="L421" i="1"/>
  <c r="M421" i="1" s="1"/>
  <c r="N421" i="1" s="1"/>
  <c r="L420" i="1"/>
  <c r="M420" i="1" s="1"/>
  <c r="N420" i="1" s="1"/>
  <c r="L419" i="1"/>
  <c r="L418" i="1"/>
  <c r="M418" i="1" s="1"/>
  <c r="N418" i="1" s="1"/>
  <c r="L417" i="1"/>
  <c r="M417" i="1" s="1"/>
  <c r="N417" i="1" s="1"/>
  <c r="L416" i="1"/>
  <c r="M416" i="1" s="1"/>
  <c r="N416" i="1" s="1"/>
  <c r="L415" i="1"/>
  <c r="M415" i="1" s="1"/>
  <c r="N415" i="1" s="1"/>
  <c r="L414" i="1"/>
  <c r="M414" i="1" s="1"/>
  <c r="N414" i="1" s="1"/>
  <c r="L413" i="1"/>
  <c r="M413" i="1" s="1"/>
  <c r="N413" i="1" s="1"/>
  <c r="L412" i="1"/>
  <c r="M412" i="1" s="1"/>
  <c r="N412" i="1" s="1"/>
  <c r="L411" i="1"/>
  <c r="M411" i="1" s="1"/>
  <c r="N411" i="1" s="1"/>
  <c r="L410" i="1"/>
  <c r="M410" i="1" s="1"/>
  <c r="N410" i="1" s="1"/>
  <c r="L409" i="1"/>
  <c r="M409" i="1" s="1"/>
  <c r="N409" i="1" s="1"/>
  <c r="L408" i="1"/>
  <c r="M408" i="1" s="1"/>
  <c r="N408" i="1" s="1"/>
  <c r="L407" i="1"/>
  <c r="M407" i="1" s="1"/>
  <c r="N407" i="1" s="1"/>
  <c r="L406" i="1"/>
  <c r="L405" i="1"/>
  <c r="M405" i="1" s="1"/>
  <c r="N405" i="1" s="1"/>
  <c r="L404" i="1"/>
  <c r="M404" i="1" s="1"/>
  <c r="N404" i="1" s="1"/>
  <c r="L403" i="1"/>
  <c r="M403" i="1" s="1"/>
  <c r="N403" i="1" s="1"/>
  <c r="L402" i="1"/>
  <c r="M402" i="1" s="1"/>
  <c r="N402" i="1" s="1"/>
  <c r="L401" i="1"/>
  <c r="M401" i="1" s="1"/>
  <c r="N401" i="1" s="1"/>
  <c r="L400" i="1"/>
  <c r="M400" i="1" s="1"/>
  <c r="N400" i="1" s="1"/>
  <c r="L399" i="1"/>
  <c r="M399" i="1" s="1"/>
  <c r="N399" i="1" s="1"/>
  <c r="L398" i="1"/>
  <c r="M398" i="1" s="1"/>
  <c r="N398" i="1" s="1"/>
  <c r="L397" i="1"/>
  <c r="M397" i="1" s="1"/>
  <c r="N397" i="1" s="1"/>
  <c r="L396" i="1"/>
  <c r="M396" i="1" s="1"/>
  <c r="N396" i="1" s="1"/>
  <c r="L395" i="1"/>
  <c r="M395" i="1" s="1"/>
  <c r="N395" i="1" s="1"/>
  <c r="L394" i="1"/>
  <c r="M394" i="1" s="1"/>
  <c r="N394" i="1" s="1"/>
  <c r="L393" i="1"/>
  <c r="L392" i="1"/>
  <c r="M392" i="1" s="1"/>
  <c r="N392" i="1" s="1"/>
  <c r="L391" i="1"/>
  <c r="M391" i="1" s="1"/>
  <c r="N391" i="1" s="1"/>
  <c r="L390" i="1"/>
  <c r="M390" i="1" s="1"/>
  <c r="N390" i="1" s="1"/>
  <c r="L389" i="1"/>
  <c r="M389" i="1" s="1"/>
  <c r="N389" i="1" s="1"/>
  <c r="L388" i="1"/>
  <c r="M388" i="1" s="1"/>
  <c r="N388" i="1" s="1"/>
  <c r="L387" i="1"/>
  <c r="M387" i="1" s="1"/>
  <c r="N387" i="1" s="1"/>
  <c r="L386" i="1"/>
  <c r="M386" i="1" s="1"/>
  <c r="N386" i="1" s="1"/>
  <c r="L385" i="1"/>
  <c r="M385" i="1" s="1"/>
  <c r="N385" i="1" s="1"/>
  <c r="L384" i="1"/>
  <c r="M384" i="1" s="1"/>
  <c r="N384" i="1" s="1"/>
  <c r="L383" i="1"/>
  <c r="M383" i="1" s="1"/>
  <c r="N383" i="1" s="1"/>
  <c r="L382" i="1"/>
  <c r="M382" i="1" s="1"/>
  <c r="N382" i="1" s="1"/>
  <c r="L381" i="1"/>
  <c r="M381" i="1" s="1"/>
  <c r="N381" i="1" s="1"/>
  <c r="L380" i="1"/>
  <c r="L379" i="1"/>
  <c r="M379" i="1" s="1"/>
  <c r="N379" i="1" s="1"/>
  <c r="L378" i="1"/>
  <c r="M378" i="1" s="1"/>
  <c r="N378" i="1" s="1"/>
  <c r="L377" i="1"/>
  <c r="M377" i="1" s="1"/>
  <c r="N377" i="1" s="1"/>
  <c r="L376" i="1"/>
  <c r="M376" i="1" s="1"/>
  <c r="N376" i="1" s="1"/>
  <c r="L375" i="1"/>
  <c r="M375" i="1" s="1"/>
  <c r="N375" i="1" s="1"/>
  <c r="L374" i="1"/>
  <c r="M374" i="1" s="1"/>
  <c r="N374" i="1" s="1"/>
  <c r="L373" i="1"/>
  <c r="M373" i="1" s="1"/>
  <c r="N373" i="1" s="1"/>
  <c r="L372" i="1"/>
  <c r="M372" i="1" s="1"/>
  <c r="N372" i="1" s="1"/>
  <c r="L371" i="1"/>
  <c r="M371" i="1" s="1"/>
  <c r="N371" i="1" s="1"/>
  <c r="L370" i="1"/>
  <c r="M370" i="1" s="1"/>
  <c r="N370" i="1" s="1"/>
  <c r="L369" i="1"/>
  <c r="M369" i="1" s="1"/>
  <c r="N369" i="1" s="1"/>
  <c r="L368" i="1"/>
  <c r="M368" i="1" s="1"/>
  <c r="N368" i="1" s="1"/>
  <c r="L367" i="1"/>
  <c r="L366" i="1"/>
  <c r="M366" i="1" s="1"/>
  <c r="N366" i="1" s="1"/>
  <c r="L365" i="1"/>
  <c r="M365" i="1" s="1"/>
  <c r="N365" i="1" s="1"/>
  <c r="L364" i="1"/>
  <c r="M364" i="1" s="1"/>
  <c r="N364" i="1" s="1"/>
  <c r="L363" i="1"/>
  <c r="M363" i="1" s="1"/>
  <c r="N363" i="1" s="1"/>
  <c r="L362" i="1"/>
  <c r="M362" i="1" s="1"/>
  <c r="N362" i="1" s="1"/>
  <c r="L361" i="1"/>
  <c r="M361" i="1" s="1"/>
  <c r="N361" i="1" s="1"/>
  <c r="L360" i="1"/>
  <c r="M360" i="1" s="1"/>
  <c r="N360" i="1" s="1"/>
  <c r="L359" i="1"/>
  <c r="M359" i="1" s="1"/>
  <c r="N359" i="1" s="1"/>
  <c r="L358" i="1"/>
  <c r="M358" i="1" s="1"/>
  <c r="N358" i="1" s="1"/>
  <c r="L357" i="1"/>
  <c r="M357" i="1" s="1"/>
  <c r="N357" i="1" s="1"/>
  <c r="L356" i="1"/>
  <c r="M356" i="1" s="1"/>
  <c r="N356" i="1" s="1"/>
  <c r="L355" i="1"/>
  <c r="M355" i="1" s="1"/>
  <c r="N355" i="1" s="1"/>
  <c r="L354" i="1"/>
  <c r="L353" i="1"/>
  <c r="M353" i="1" s="1"/>
  <c r="N353" i="1" s="1"/>
  <c r="L352" i="1"/>
  <c r="M352" i="1" s="1"/>
  <c r="N352" i="1" s="1"/>
  <c r="L351" i="1"/>
  <c r="M351" i="1" s="1"/>
  <c r="N351" i="1" s="1"/>
  <c r="L350" i="1"/>
  <c r="M350" i="1" s="1"/>
  <c r="N350" i="1" s="1"/>
  <c r="L349" i="1"/>
  <c r="M349" i="1" s="1"/>
  <c r="N349" i="1" s="1"/>
  <c r="L348" i="1"/>
  <c r="M348" i="1" s="1"/>
  <c r="N348" i="1" s="1"/>
  <c r="L347" i="1"/>
  <c r="M347" i="1" s="1"/>
  <c r="N347" i="1" s="1"/>
  <c r="L346" i="1"/>
  <c r="M346" i="1" s="1"/>
  <c r="N346" i="1" s="1"/>
  <c r="L345" i="1"/>
  <c r="M345" i="1" s="1"/>
  <c r="N345" i="1" s="1"/>
  <c r="L344" i="1"/>
  <c r="M344" i="1" s="1"/>
  <c r="N344" i="1" s="1"/>
  <c r="L343" i="1"/>
  <c r="M343" i="1" s="1"/>
  <c r="N343" i="1" s="1"/>
  <c r="L342" i="1"/>
  <c r="M342" i="1" s="1"/>
  <c r="N342" i="1" s="1"/>
  <c r="L341" i="1"/>
  <c r="L340" i="1"/>
  <c r="M340" i="1" s="1"/>
  <c r="N340" i="1" s="1"/>
  <c r="L339" i="1"/>
  <c r="M339" i="1" s="1"/>
  <c r="N339" i="1" s="1"/>
  <c r="L338" i="1"/>
  <c r="M338" i="1" s="1"/>
  <c r="N338" i="1" s="1"/>
  <c r="L337" i="1"/>
  <c r="M337" i="1" s="1"/>
  <c r="N337" i="1" s="1"/>
  <c r="L336" i="1"/>
  <c r="M336" i="1" s="1"/>
  <c r="N336" i="1" s="1"/>
  <c r="L335" i="1"/>
  <c r="M335" i="1" s="1"/>
  <c r="N335" i="1" s="1"/>
  <c r="L334" i="1"/>
  <c r="M334" i="1" s="1"/>
  <c r="N334" i="1" s="1"/>
  <c r="L333" i="1"/>
  <c r="M333" i="1" s="1"/>
  <c r="N333" i="1" s="1"/>
  <c r="L332" i="1"/>
  <c r="M332" i="1" s="1"/>
  <c r="N332" i="1" s="1"/>
  <c r="L331" i="1"/>
  <c r="M331" i="1" s="1"/>
  <c r="N331" i="1" s="1"/>
  <c r="L330" i="1"/>
  <c r="M330" i="1" s="1"/>
  <c r="N330" i="1" s="1"/>
  <c r="L329" i="1"/>
  <c r="M329" i="1" s="1"/>
  <c r="N329" i="1" s="1"/>
  <c r="L328" i="1"/>
  <c r="L327" i="1"/>
  <c r="M327" i="1" s="1"/>
  <c r="N327" i="1" s="1"/>
  <c r="L326" i="1"/>
  <c r="M326" i="1" s="1"/>
  <c r="N326" i="1" s="1"/>
  <c r="L325" i="1"/>
  <c r="M325" i="1" s="1"/>
  <c r="N325" i="1" s="1"/>
  <c r="L324" i="1"/>
  <c r="M324" i="1" s="1"/>
  <c r="N324" i="1" s="1"/>
  <c r="L323" i="1"/>
  <c r="M323" i="1" s="1"/>
  <c r="N323" i="1" s="1"/>
  <c r="L322" i="1"/>
  <c r="M322" i="1" s="1"/>
  <c r="N322" i="1" s="1"/>
  <c r="L321" i="1"/>
  <c r="M321" i="1" s="1"/>
  <c r="N321" i="1" s="1"/>
  <c r="L320" i="1"/>
  <c r="M320" i="1" s="1"/>
  <c r="N320" i="1" s="1"/>
  <c r="L319" i="1"/>
  <c r="M319" i="1" s="1"/>
  <c r="N319" i="1" s="1"/>
  <c r="L318" i="1"/>
  <c r="M318" i="1" s="1"/>
  <c r="N318" i="1" s="1"/>
  <c r="L317" i="1"/>
  <c r="M317" i="1" s="1"/>
  <c r="N317" i="1" s="1"/>
  <c r="L316" i="1"/>
  <c r="M316" i="1" s="1"/>
  <c r="N316" i="1" s="1"/>
  <c r="L315" i="1"/>
  <c r="L314" i="1"/>
  <c r="M314" i="1" s="1"/>
  <c r="N314" i="1" s="1"/>
  <c r="L313" i="1"/>
  <c r="M313" i="1" s="1"/>
  <c r="N313" i="1" s="1"/>
  <c r="L312" i="1"/>
  <c r="M312" i="1" s="1"/>
  <c r="N312" i="1" s="1"/>
  <c r="L311" i="1"/>
  <c r="M311" i="1" s="1"/>
  <c r="N311" i="1" s="1"/>
  <c r="L310" i="1"/>
  <c r="M310" i="1" s="1"/>
  <c r="N310" i="1" s="1"/>
  <c r="L309" i="1"/>
  <c r="M309" i="1" s="1"/>
  <c r="N309" i="1" s="1"/>
  <c r="L308" i="1"/>
  <c r="M308" i="1" s="1"/>
  <c r="N308" i="1" s="1"/>
  <c r="L307" i="1"/>
  <c r="M307" i="1" s="1"/>
  <c r="N307" i="1" s="1"/>
  <c r="L306" i="1"/>
  <c r="M306" i="1" s="1"/>
  <c r="N306" i="1" s="1"/>
  <c r="L305" i="1"/>
  <c r="M305" i="1" s="1"/>
  <c r="N305" i="1" s="1"/>
  <c r="L304" i="1"/>
  <c r="M304" i="1" s="1"/>
  <c r="N304" i="1" s="1"/>
  <c r="L303" i="1"/>
  <c r="M303" i="1" s="1"/>
  <c r="N303" i="1" s="1"/>
  <c r="L302" i="1"/>
  <c r="L301" i="1"/>
  <c r="M301" i="1" s="1"/>
  <c r="N301" i="1" s="1"/>
  <c r="L300" i="1"/>
  <c r="M300" i="1" s="1"/>
  <c r="N300" i="1" s="1"/>
  <c r="L299" i="1"/>
  <c r="M299" i="1" s="1"/>
  <c r="N299" i="1" s="1"/>
  <c r="L298" i="1"/>
  <c r="M298" i="1" s="1"/>
  <c r="N298" i="1" s="1"/>
  <c r="L297" i="1"/>
  <c r="M297" i="1" s="1"/>
  <c r="N297" i="1" s="1"/>
  <c r="L296" i="1"/>
  <c r="M296" i="1" s="1"/>
  <c r="N296" i="1" s="1"/>
  <c r="L295" i="1"/>
  <c r="M295" i="1" s="1"/>
  <c r="N295" i="1" s="1"/>
  <c r="L294" i="1"/>
  <c r="M294" i="1" s="1"/>
  <c r="N294" i="1" s="1"/>
  <c r="L293" i="1"/>
  <c r="M293" i="1" s="1"/>
  <c r="N293" i="1" s="1"/>
  <c r="L292" i="1"/>
  <c r="M292" i="1" s="1"/>
  <c r="N292" i="1" s="1"/>
  <c r="L291" i="1"/>
  <c r="M291" i="1" s="1"/>
  <c r="N291" i="1" s="1"/>
  <c r="L290" i="1"/>
  <c r="M290" i="1" s="1"/>
  <c r="N290" i="1" s="1"/>
  <c r="L289" i="1"/>
  <c r="L288" i="1"/>
  <c r="M288" i="1" s="1"/>
  <c r="N288" i="1" s="1"/>
  <c r="L287" i="1"/>
  <c r="M287" i="1" s="1"/>
  <c r="N287" i="1" s="1"/>
  <c r="L286" i="1"/>
  <c r="M286" i="1" s="1"/>
  <c r="N286" i="1" s="1"/>
  <c r="L285" i="1"/>
  <c r="M285" i="1" s="1"/>
  <c r="N285" i="1" s="1"/>
  <c r="L284" i="1"/>
  <c r="M284" i="1" s="1"/>
  <c r="N284" i="1" s="1"/>
  <c r="L283" i="1"/>
  <c r="M283" i="1" s="1"/>
  <c r="N283" i="1" s="1"/>
  <c r="L282" i="1"/>
  <c r="M282" i="1" s="1"/>
  <c r="N282" i="1" s="1"/>
  <c r="L281" i="1"/>
  <c r="M281" i="1" s="1"/>
  <c r="N281" i="1" s="1"/>
  <c r="L280" i="1"/>
  <c r="M280" i="1" s="1"/>
  <c r="N280" i="1" s="1"/>
  <c r="L279" i="1"/>
  <c r="M279" i="1" s="1"/>
  <c r="N279" i="1" s="1"/>
  <c r="L278" i="1"/>
  <c r="M278" i="1" s="1"/>
  <c r="N278" i="1" s="1"/>
  <c r="L277" i="1"/>
  <c r="M277" i="1" s="1"/>
  <c r="N277" i="1" s="1"/>
  <c r="L276" i="1"/>
  <c r="L275" i="1"/>
  <c r="M275" i="1" s="1"/>
  <c r="N275" i="1" s="1"/>
  <c r="L274" i="1"/>
  <c r="M274" i="1" s="1"/>
  <c r="N274" i="1" s="1"/>
  <c r="L273" i="1"/>
  <c r="M273" i="1" s="1"/>
  <c r="N273" i="1" s="1"/>
  <c r="L272" i="1"/>
  <c r="M272" i="1" s="1"/>
  <c r="N272" i="1" s="1"/>
  <c r="L271" i="1"/>
  <c r="M271" i="1" s="1"/>
  <c r="N271" i="1" s="1"/>
  <c r="L270" i="1"/>
  <c r="M270" i="1" s="1"/>
  <c r="N270" i="1" s="1"/>
  <c r="L269" i="1"/>
  <c r="M269" i="1" s="1"/>
  <c r="N269" i="1" s="1"/>
  <c r="L268" i="1"/>
  <c r="M268" i="1" s="1"/>
  <c r="N268" i="1" s="1"/>
  <c r="L267" i="1"/>
  <c r="M267" i="1" s="1"/>
  <c r="N267" i="1" s="1"/>
  <c r="L266" i="1"/>
  <c r="M266" i="1" s="1"/>
  <c r="N266" i="1" s="1"/>
  <c r="L265" i="1"/>
  <c r="M265" i="1" s="1"/>
  <c r="N265" i="1" s="1"/>
  <c r="L264" i="1"/>
  <c r="M264" i="1" s="1"/>
  <c r="N264" i="1" s="1"/>
  <c r="L263" i="1"/>
  <c r="L262" i="1"/>
  <c r="M262" i="1" s="1"/>
  <c r="N262" i="1" s="1"/>
  <c r="L261" i="1"/>
  <c r="M261" i="1" s="1"/>
  <c r="N261" i="1" s="1"/>
  <c r="L260" i="1"/>
  <c r="M260" i="1" s="1"/>
  <c r="N260" i="1" s="1"/>
  <c r="L259" i="1"/>
  <c r="M259" i="1" s="1"/>
  <c r="N259" i="1" s="1"/>
  <c r="L258" i="1"/>
  <c r="M258" i="1" s="1"/>
  <c r="N258" i="1" s="1"/>
  <c r="L257" i="1"/>
  <c r="M257" i="1" s="1"/>
  <c r="N257" i="1" s="1"/>
  <c r="L256" i="1"/>
  <c r="M256" i="1" s="1"/>
  <c r="N256" i="1" s="1"/>
  <c r="L255" i="1"/>
  <c r="M255" i="1" s="1"/>
  <c r="N255" i="1" s="1"/>
  <c r="L254" i="1"/>
  <c r="M254" i="1" s="1"/>
  <c r="N254" i="1" s="1"/>
  <c r="L253" i="1"/>
  <c r="M253" i="1" s="1"/>
  <c r="N253" i="1" s="1"/>
  <c r="L252" i="1"/>
  <c r="M252" i="1" s="1"/>
  <c r="N252" i="1" s="1"/>
  <c r="L251" i="1"/>
  <c r="M251" i="1" s="1"/>
  <c r="N251" i="1" s="1"/>
  <c r="L250" i="1"/>
  <c r="L249" i="1"/>
  <c r="M249" i="1" s="1"/>
  <c r="N249" i="1" s="1"/>
  <c r="L248" i="1"/>
  <c r="M248" i="1" s="1"/>
  <c r="N248" i="1" s="1"/>
  <c r="L247" i="1"/>
  <c r="M247" i="1" s="1"/>
  <c r="N247" i="1" s="1"/>
  <c r="L246" i="1"/>
  <c r="M246" i="1" s="1"/>
  <c r="N246" i="1" s="1"/>
  <c r="L245" i="1"/>
  <c r="M245" i="1" s="1"/>
  <c r="N245" i="1" s="1"/>
  <c r="L244" i="1"/>
  <c r="M244" i="1" s="1"/>
  <c r="N244" i="1" s="1"/>
  <c r="L243" i="1"/>
  <c r="M243" i="1" s="1"/>
  <c r="N243" i="1" s="1"/>
  <c r="L242" i="1"/>
  <c r="M242" i="1" s="1"/>
  <c r="N242" i="1" s="1"/>
  <c r="L241" i="1"/>
  <c r="M241" i="1" s="1"/>
  <c r="N241" i="1" s="1"/>
  <c r="L240" i="1"/>
  <c r="M240" i="1" s="1"/>
  <c r="N240" i="1" s="1"/>
  <c r="L239" i="1"/>
  <c r="M239" i="1" s="1"/>
  <c r="N239" i="1" s="1"/>
  <c r="L238" i="1"/>
  <c r="M238" i="1" s="1"/>
  <c r="N238" i="1" s="1"/>
  <c r="L237" i="1"/>
  <c r="L236" i="1"/>
  <c r="M236" i="1" s="1"/>
  <c r="N236" i="1" s="1"/>
  <c r="L235" i="1"/>
  <c r="M235" i="1" s="1"/>
  <c r="N235" i="1" s="1"/>
  <c r="L234" i="1"/>
  <c r="M234" i="1" s="1"/>
  <c r="N234" i="1" s="1"/>
  <c r="L233" i="1"/>
  <c r="M233" i="1" s="1"/>
  <c r="N233" i="1" s="1"/>
  <c r="L232" i="1"/>
  <c r="M232" i="1" s="1"/>
  <c r="N232" i="1" s="1"/>
  <c r="L231" i="1"/>
  <c r="M231" i="1" s="1"/>
  <c r="N231" i="1" s="1"/>
  <c r="L230" i="1"/>
  <c r="M230" i="1" s="1"/>
  <c r="N230" i="1" s="1"/>
  <c r="L229" i="1"/>
  <c r="M229" i="1" s="1"/>
  <c r="N229" i="1" s="1"/>
  <c r="L228" i="1"/>
  <c r="M228" i="1" s="1"/>
  <c r="N228" i="1" s="1"/>
  <c r="L227" i="1"/>
  <c r="M227" i="1" s="1"/>
  <c r="N227" i="1" s="1"/>
  <c r="L226" i="1"/>
  <c r="M226" i="1" s="1"/>
  <c r="N226" i="1" s="1"/>
  <c r="L225" i="1"/>
  <c r="M225" i="1" s="1"/>
  <c r="N225" i="1" s="1"/>
  <c r="L224" i="1"/>
  <c r="L223" i="1"/>
  <c r="M223" i="1" s="1"/>
  <c r="N223" i="1" s="1"/>
  <c r="L222" i="1"/>
  <c r="M222" i="1" s="1"/>
  <c r="N222" i="1" s="1"/>
  <c r="L221" i="1"/>
  <c r="M221" i="1" s="1"/>
  <c r="N221" i="1" s="1"/>
  <c r="L220" i="1"/>
  <c r="M220" i="1" s="1"/>
  <c r="N220" i="1" s="1"/>
  <c r="L219" i="1"/>
  <c r="M219" i="1" s="1"/>
  <c r="N219" i="1" s="1"/>
  <c r="L218" i="1"/>
  <c r="M218" i="1" s="1"/>
  <c r="N218" i="1" s="1"/>
  <c r="L217" i="1"/>
  <c r="M217" i="1" s="1"/>
  <c r="N217" i="1" s="1"/>
  <c r="L216" i="1"/>
  <c r="M216" i="1" s="1"/>
  <c r="N216" i="1" s="1"/>
  <c r="L215" i="1"/>
  <c r="M215" i="1" s="1"/>
  <c r="N215" i="1" s="1"/>
  <c r="L214" i="1"/>
  <c r="M214" i="1" s="1"/>
  <c r="N214" i="1" s="1"/>
  <c r="L213" i="1"/>
  <c r="M213" i="1" s="1"/>
  <c r="N213" i="1" s="1"/>
  <c r="L212" i="1"/>
  <c r="M212" i="1" s="1"/>
  <c r="N212" i="1" s="1"/>
  <c r="L211" i="1"/>
  <c r="L210" i="1"/>
  <c r="M210" i="1" s="1"/>
  <c r="N210" i="1" s="1"/>
  <c r="L209" i="1"/>
  <c r="M209" i="1" s="1"/>
  <c r="N209" i="1" s="1"/>
  <c r="L208" i="1"/>
  <c r="M208" i="1" s="1"/>
  <c r="N208" i="1" s="1"/>
  <c r="L207" i="1"/>
  <c r="M207" i="1" s="1"/>
  <c r="N207" i="1" s="1"/>
  <c r="L206" i="1"/>
  <c r="M206" i="1" s="1"/>
  <c r="N206" i="1" s="1"/>
  <c r="L205" i="1"/>
  <c r="M205" i="1" s="1"/>
  <c r="N205" i="1" s="1"/>
  <c r="L204" i="1"/>
  <c r="M204" i="1" s="1"/>
  <c r="N204" i="1" s="1"/>
  <c r="L203" i="1"/>
  <c r="M203" i="1" s="1"/>
  <c r="N203" i="1" s="1"/>
  <c r="L202" i="1"/>
  <c r="M202" i="1" s="1"/>
  <c r="N202" i="1" s="1"/>
  <c r="L201" i="1"/>
  <c r="M201" i="1" s="1"/>
  <c r="N201" i="1" s="1"/>
  <c r="L200" i="1"/>
  <c r="M200" i="1" s="1"/>
  <c r="N200" i="1" s="1"/>
  <c r="L199" i="1"/>
  <c r="M199" i="1" s="1"/>
  <c r="N199" i="1" s="1"/>
  <c r="L198" i="1"/>
  <c r="L197" i="1"/>
  <c r="M197" i="1" s="1"/>
  <c r="N197" i="1" s="1"/>
  <c r="L196" i="1"/>
  <c r="M196" i="1" s="1"/>
  <c r="N196" i="1" s="1"/>
  <c r="L195" i="1"/>
  <c r="M195" i="1" s="1"/>
  <c r="N195" i="1" s="1"/>
  <c r="L194" i="1"/>
  <c r="M194" i="1" s="1"/>
  <c r="N194" i="1" s="1"/>
  <c r="L193" i="1"/>
  <c r="M193" i="1" s="1"/>
  <c r="N193" i="1" s="1"/>
  <c r="L192" i="1"/>
  <c r="M192" i="1" s="1"/>
  <c r="N192" i="1" s="1"/>
  <c r="L191" i="1"/>
  <c r="M191" i="1" s="1"/>
  <c r="N191" i="1" s="1"/>
  <c r="L190" i="1"/>
  <c r="M190" i="1" s="1"/>
  <c r="N190" i="1" s="1"/>
  <c r="L189" i="1"/>
  <c r="M189" i="1" s="1"/>
  <c r="N189" i="1" s="1"/>
  <c r="L188" i="1"/>
  <c r="M188" i="1" s="1"/>
  <c r="N188" i="1" s="1"/>
  <c r="L187" i="1"/>
  <c r="M187" i="1" s="1"/>
  <c r="N187" i="1" s="1"/>
  <c r="L186" i="1"/>
  <c r="M186" i="1" s="1"/>
  <c r="N186" i="1" s="1"/>
  <c r="L185" i="1"/>
  <c r="L184" i="1"/>
  <c r="M184" i="1" s="1"/>
  <c r="N184" i="1" s="1"/>
  <c r="L183" i="1"/>
  <c r="M183" i="1" s="1"/>
  <c r="N183" i="1" s="1"/>
  <c r="L182" i="1"/>
  <c r="M182" i="1" s="1"/>
  <c r="N182" i="1" s="1"/>
  <c r="L181" i="1"/>
  <c r="M181" i="1" s="1"/>
  <c r="N181" i="1" s="1"/>
  <c r="L180" i="1"/>
  <c r="M180" i="1" s="1"/>
  <c r="N180" i="1" s="1"/>
  <c r="L179" i="1"/>
  <c r="M179" i="1" s="1"/>
  <c r="N179" i="1" s="1"/>
  <c r="L178" i="1"/>
  <c r="M178" i="1" s="1"/>
  <c r="N178" i="1" s="1"/>
  <c r="L177" i="1"/>
  <c r="M177" i="1" s="1"/>
  <c r="N177" i="1" s="1"/>
  <c r="L176" i="1"/>
  <c r="M176" i="1" s="1"/>
  <c r="N176" i="1" s="1"/>
  <c r="L175" i="1"/>
  <c r="M175" i="1" s="1"/>
  <c r="N175" i="1" s="1"/>
  <c r="L174" i="1"/>
  <c r="M174" i="1" s="1"/>
  <c r="N174" i="1" s="1"/>
  <c r="L173" i="1"/>
  <c r="M173" i="1" s="1"/>
  <c r="N173" i="1" s="1"/>
  <c r="L172" i="1"/>
  <c r="L171" i="1"/>
  <c r="M171" i="1" s="1"/>
  <c r="N171" i="1" s="1"/>
  <c r="L170" i="1"/>
  <c r="M170" i="1" s="1"/>
  <c r="N170" i="1" s="1"/>
  <c r="L169" i="1"/>
  <c r="M169" i="1" s="1"/>
  <c r="N169" i="1" s="1"/>
  <c r="L168" i="1"/>
  <c r="M168" i="1" s="1"/>
  <c r="N168" i="1" s="1"/>
  <c r="L167" i="1"/>
  <c r="M167" i="1" s="1"/>
  <c r="N167" i="1" s="1"/>
  <c r="L166" i="1"/>
  <c r="M166" i="1" s="1"/>
  <c r="N166" i="1" s="1"/>
  <c r="L165" i="1"/>
  <c r="M165" i="1" s="1"/>
  <c r="N165" i="1" s="1"/>
  <c r="L164" i="1"/>
  <c r="M164" i="1" s="1"/>
  <c r="N164" i="1" s="1"/>
  <c r="L163" i="1"/>
  <c r="M163" i="1" s="1"/>
  <c r="N163" i="1" s="1"/>
  <c r="L162" i="1"/>
  <c r="M162" i="1" s="1"/>
  <c r="N162" i="1" s="1"/>
  <c r="L161" i="1"/>
  <c r="M161" i="1" s="1"/>
  <c r="N161" i="1" s="1"/>
  <c r="L160" i="1"/>
  <c r="M160" i="1" s="1"/>
  <c r="N160" i="1" s="1"/>
  <c r="L159" i="1"/>
  <c r="L158" i="1"/>
  <c r="M158" i="1" s="1"/>
  <c r="N158" i="1" s="1"/>
  <c r="L157" i="1"/>
  <c r="M157" i="1" s="1"/>
  <c r="N157" i="1" s="1"/>
  <c r="L156" i="1"/>
  <c r="M156" i="1" s="1"/>
  <c r="N156" i="1" s="1"/>
  <c r="L155" i="1"/>
  <c r="M155" i="1" s="1"/>
  <c r="N155" i="1" s="1"/>
  <c r="L154" i="1"/>
  <c r="M154" i="1" s="1"/>
  <c r="N154" i="1" s="1"/>
  <c r="L153" i="1"/>
  <c r="M153" i="1" s="1"/>
  <c r="N153" i="1" s="1"/>
  <c r="L152" i="1"/>
  <c r="M152" i="1" s="1"/>
  <c r="N152" i="1" s="1"/>
  <c r="L151" i="1"/>
  <c r="M151" i="1" s="1"/>
  <c r="N151" i="1" s="1"/>
  <c r="L150" i="1"/>
  <c r="M150" i="1" s="1"/>
  <c r="N150" i="1" s="1"/>
  <c r="L149" i="1"/>
  <c r="M149" i="1" s="1"/>
  <c r="N149" i="1" s="1"/>
  <c r="L148" i="1"/>
  <c r="M148" i="1" s="1"/>
  <c r="N148" i="1" s="1"/>
  <c r="L147" i="1"/>
  <c r="M147" i="1" s="1"/>
  <c r="N147" i="1" s="1"/>
  <c r="L146" i="1"/>
  <c r="L145" i="1"/>
  <c r="M145" i="1" s="1"/>
  <c r="N145" i="1" s="1"/>
  <c r="L144" i="1"/>
  <c r="M144" i="1" s="1"/>
  <c r="N144" i="1" s="1"/>
  <c r="L143" i="1"/>
  <c r="M143" i="1" s="1"/>
  <c r="N143" i="1" s="1"/>
  <c r="L142" i="1"/>
  <c r="M142" i="1" s="1"/>
  <c r="N142" i="1" s="1"/>
  <c r="L141" i="1"/>
  <c r="M141" i="1" s="1"/>
  <c r="N141" i="1" s="1"/>
  <c r="L140" i="1"/>
  <c r="M140" i="1" s="1"/>
  <c r="N140" i="1" s="1"/>
  <c r="L139" i="1"/>
  <c r="M139" i="1" s="1"/>
  <c r="N139" i="1" s="1"/>
  <c r="L138" i="1"/>
  <c r="M138" i="1" s="1"/>
  <c r="N138" i="1" s="1"/>
  <c r="L137" i="1"/>
  <c r="M137" i="1" s="1"/>
  <c r="N137" i="1" s="1"/>
  <c r="L136" i="1"/>
  <c r="M136" i="1" s="1"/>
  <c r="N136" i="1" s="1"/>
  <c r="L135" i="1"/>
  <c r="M135" i="1" s="1"/>
  <c r="N135" i="1" s="1"/>
  <c r="L134" i="1"/>
  <c r="M134" i="1" s="1"/>
  <c r="N134" i="1" s="1"/>
  <c r="L133" i="1"/>
  <c r="L132" i="1"/>
  <c r="M132" i="1" s="1"/>
  <c r="N132" i="1" s="1"/>
  <c r="L131" i="1"/>
  <c r="M131" i="1" s="1"/>
  <c r="N131" i="1" s="1"/>
  <c r="L130" i="1"/>
  <c r="M130" i="1" s="1"/>
  <c r="N130" i="1" s="1"/>
  <c r="L129" i="1"/>
  <c r="M129" i="1" s="1"/>
  <c r="N129" i="1" s="1"/>
  <c r="L128" i="1"/>
  <c r="M128" i="1" s="1"/>
  <c r="N128" i="1" s="1"/>
  <c r="L127" i="1"/>
  <c r="M127" i="1" s="1"/>
  <c r="N127" i="1" s="1"/>
  <c r="L126" i="1"/>
  <c r="M126" i="1" s="1"/>
  <c r="N126" i="1" s="1"/>
  <c r="L125" i="1"/>
  <c r="M125" i="1" s="1"/>
  <c r="N125" i="1" s="1"/>
  <c r="L124" i="1"/>
  <c r="M124" i="1" s="1"/>
  <c r="N124" i="1" s="1"/>
  <c r="L123" i="1"/>
  <c r="M123" i="1" s="1"/>
  <c r="N123" i="1" s="1"/>
  <c r="L122" i="1"/>
  <c r="M122" i="1" s="1"/>
  <c r="N122" i="1" s="1"/>
  <c r="L121" i="1"/>
  <c r="M121" i="1" s="1"/>
  <c r="N121" i="1" s="1"/>
  <c r="L120" i="1"/>
  <c r="L119" i="1"/>
  <c r="M119" i="1" s="1"/>
  <c r="N119" i="1" s="1"/>
  <c r="L118" i="1"/>
  <c r="M118" i="1" s="1"/>
  <c r="N118" i="1" s="1"/>
  <c r="L117" i="1"/>
  <c r="M117" i="1" s="1"/>
  <c r="N117" i="1" s="1"/>
  <c r="L116" i="1"/>
  <c r="M116" i="1" s="1"/>
  <c r="N116" i="1" s="1"/>
  <c r="L115" i="1"/>
  <c r="M115" i="1" s="1"/>
  <c r="N115" i="1" s="1"/>
  <c r="L114" i="1"/>
  <c r="M114" i="1" s="1"/>
  <c r="N114" i="1" s="1"/>
  <c r="L113" i="1"/>
  <c r="M113" i="1" s="1"/>
  <c r="N113" i="1" s="1"/>
  <c r="L112" i="1"/>
  <c r="M112" i="1" s="1"/>
  <c r="N112" i="1" s="1"/>
  <c r="L111" i="1"/>
  <c r="M111" i="1" s="1"/>
  <c r="N111" i="1" s="1"/>
  <c r="L110" i="1"/>
  <c r="M110" i="1" s="1"/>
  <c r="N110" i="1" s="1"/>
  <c r="L109" i="1"/>
  <c r="M109" i="1" s="1"/>
  <c r="N109" i="1" s="1"/>
  <c r="L108" i="1"/>
  <c r="M108" i="1" s="1"/>
  <c r="N108" i="1" s="1"/>
  <c r="L107" i="1"/>
  <c r="L106" i="1"/>
  <c r="M106" i="1" s="1"/>
  <c r="N106" i="1" s="1"/>
  <c r="L105" i="1"/>
  <c r="M105" i="1" s="1"/>
  <c r="N105" i="1" s="1"/>
  <c r="L104" i="1"/>
  <c r="M104" i="1" s="1"/>
  <c r="N104" i="1" s="1"/>
  <c r="L103" i="1"/>
  <c r="M103" i="1" s="1"/>
  <c r="N103" i="1" s="1"/>
  <c r="L102" i="1"/>
  <c r="M102" i="1" s="1"/>
  <c r="N102" i="1" s="1"/>
  <c r="L101" i="1"/>
  <c r="M101" i="1" s="1"/>
  <c r="N101" i="1" s="1"/>
  <c r="L100" i="1"/>
  <c r="M100" i="1" s="1"/>
  <c r="N100" i="1" s="1"/>
  <c r="L99" i="1"/>
  <c r="M99" i="1" s="1"/>
  <c r="N99" i="1" s="1"/>
  <c r="L98" i="1"/>
  <c r="M98" i="1" s="1"/>
  <c r="N98" i="1" s="1"/>
  <c r="L97" i="1"/>
  <c r="M97" i="1" s="1"/>
  <c r="N97" i="1" s="1"/>
  <c r="L96" i="1"/>
  <c r="M96" i="1" s="1"/>
  <c r="N96" i="1" s="1"/>
  <c r="L95" i="1"/>
  <c r="M95" i="1" s="1"/>
  <c r="N95" i="1" s="1"/>
  <c r="L94" i="1"/>
  <c r="L93" i="1"/>
  <c r="M93" i="1" s="1"/>
  <c r="N93" i="1" s="1"/>
  <c r="L92" i="1"/>
  <c r="M92" i="1" s="1"/>
  <c r="N92" i="1" s="1"/>
  <c r="L91" i="1"/>
  <c r="M91" i="1" s="1"/>
  <c r="N91" i="1" s="1"/>
  <c r="L90" i="1"/>
  <c r="M90" i="1" s="1"/>
  <c r="N90" i="1" s="1"/>
  <c r="L89" i="1"/>
  <c r="M89" i="1" s="1"/>
  <c r="N89" i="1" s="1"/>
  <c r="L88" i="1"/>
  <c r="M88" i="1" s="1"/>
  <c r="N88" i="1" s="1"/>
  <c r="L87" i="1"/>
  <c r="M87" i="1" s="1"/>
  <c r="N87" i="1" s="1"/>
  <c r="L86" i="1"/>
  <c r="M86" i="1" s="1"/>
  <c r="N86" i="1" s="1"/>
  <c r="L85" i="1"/>
  <c r="M85" i="1" s="1"/>
  <c r="N85" i="1" s="1"/>
  <c r="L84" i="1"/>
  <c r="M84" i="1" s="1"/>
  <c r="N84" i="1" s="1"/>
  <c r="L83" i="1"/>
  <c r="M83" i="1" s="1"/>
  <c r="N83" i="1" s="1"/>
  <c r="L82" i="1"/>
  <c r="M82" i="1" s="1"/>
  <c r="N82" i="1" s="1"/>
  <c r="L81" i="1"/>
  <c r="L80" i="1"/>
  <c r="M80" i="1" s="1"/>
  <c r="N80" i="1" s="1"/>
  <c r="L79" i="1"/>
  <c r="M79" i="1" s="1"/>
  <c r="N79" i="1" s="1"/>
  <c r="L78" i="1"/>
  <c r="M78" i="1" s="1"/>
  <c r="N78" i="1" s="1"/>
  <c r="L77" i="1"/>
  <c r="M77" i="1" s="1"/>
  <c r="N77" i="1" s="1"/>
  <c r="L76" i="1"/>
  <c r="M76" i="1" s="1"/>
  <c r="N76" i="1" s="1"/>
  <c r="L75" i="1"/>
  <c r="M75" i="1" s="1"/>
  <c r="N75" i="1" s="1"/>
  <c r="L74" i="1"/>
  <c r="M74" i="1" s="1"/>
  <c r="N74" i="1" s="1"/>
  <c r="L73" i="1"/>
  <c r="M73" i="1" s="1"/>
  <c r="N73" i="1" s="1"/>
  <c r="L72" i="1"/>
  <c r="M72" i="1" s="1"/>
  <c r="N72" i="1" s="1"/>
  <c r="L71" i="1"/>
  <c r="M71" i="1" s="1"/>
  <c r="N71" i="1" s="1"/>
  <c r="L70" i="1"/>
  <c r="M70" i="1" s="1"/>
  <c r="N70" i="1" s="1"/>
  <c r="L69" i="1"/>
  <c r="M69" i="1" s="1"/>
  <c r="N69" i="1" s="1"/>
  <c r="L68" i="1"/>
  <c r="L67" i="1"/>
  <c r="M67" i="1" s="1"/>
  <c r="N67" i="1" s="1"/>
  <c r="L66" i="1"/>
  <c r="M66" i="1" s="1"/>
  <c r="N66" i="1" s="1"/>
  <c r="L65" i="1"/>
  <c r="M65" i="1" s="1"/>
  <c r="N65" i="1" s="1"/>
  <c r="L64" i="1"/>
  <c r="M64" i="1" s="1"/>
  <c r="N64" i="1" s="1"/>
  <c r="L63" i="1"/>
  <c r="M63" i="1" s="1"/>
  <c r="N63" i="1" s="1"/>
  <c r="L62" i="1"/>
  <c r="M62" i="1" s="1"/>
  <c r="N62" i="1" s="1"/>
  <c r="L61" i="1"/>
  <c r="M61" i="1" s="1"/>
  <c r="N61" i="1" s="1"/>
  <c r="L60" i="1"/>
  <c r="M60" i="1" s="1"/>
  <c r="N60" i="1" s="1"/>
  <c r="L59" i="1"/>
  <c r="M59" i="1" s="1"/>
  <c r="N59" i="1" s="1"/>
  <c r="L58" i="1"/>
  <c r="M58" i="1" s="1"/>
  <c r="N58" i="1" s="1"/>
  <c r="L57" i="1"/>
  <c r="M57" i="1" s="1"/>
  <c r="N57" i="1" s="1"/>
  <c r="L56" i="1"/>
  <c r="M56" i="1" s="1"/>
  <c r="N56" i="1" s="1"/>
  <c r="L55" i="1"/>
  <c r="L54" i="1"/>
  <c r="M54" i="1" s="1"/>
  <c r="N54" i="1" s="1"/>
  <c r="L53" i="1"/>
  <c r="M53" i="1" s="1"/>
  <c r="N53" i="1" s="1"/>
  <c r="L52" i="1"/>
  <c r="M52" i="1" s="1"/>
  <c r="N52" i="1" s="1"/>
  <c r="L51" i="1"/>
  <c r="M51" i="1" s="1"/>
  <c r="N51" i="1" s="1"/>
  <c r="L50" i="1"/>
  <c r="M50" i="1" s="1"/>
  <c r="N50" i="1" s="1"/>
  <c r="L49" i="1"/>
  <c r="M49" i="1" s="1"/>
  <c r="N49" i="1" s="1"/>
  <c r="L48" i="1"/>
  <c r="M48" i="1" s="1"/>
  <c r="N48" i="1" s="1"/>
  <c r="L47" i="1"/>
  <c r="M47" i="1" s="1"/>
  <c r="N47" i="1" s="1"/>
  <c r="L46" i="1"/>
  <c r="M46" i="1" s="1"/>
  <c r="N46" i="1" s="1"/>
  <c r="L45" i="1"/>
  <c r="M45" i="1" s="1"/>
  <c r="N45" i="1" s="1"/>
  <c r="L44" i="1"/>
  <c r="M44" i="1" s="1"/>
  <c r="N44" i="1" s="1"/>
  <c r="L43" i="1"/>
  <c r="M43" i="1" s="1"/>
  <c r="N43" i="1" s="1"/>
  <c r="L42" i="1"/>
  <c r="L41" i="1"/>
  <c r="M41" i="1" s="1"/>
  <c r="N41" i="1" s="1"/>
  <c r="L40" i="1"/>
  <c r="M40" i="1" s="1"/>
  <c r="N40" i="1" s="1"/>
  <c r="L39" i="1"/>
  <c r="M39" i="1" s="1"/>
  <c r="N39" i="1" s="1"/>
  <c r="L38" i="1"/>
  <c r="M38" i="1" s="1"/>
  <c r="N38" i="1" s="1"/>
  <c r="L37" i="1"/>
  <c r="M37" i="1" s="1"/>
  <c r="N37" i="1" s="1"/>
  <c r="L36" i="1"/>
  <c r="M36" i="1" s="1"/>
  <c r="N36" i="1" s="1"/>
  <c r="L35" i="1"/>
  <c r="M35" i="1" s="1"/>
  <c r="N35" i="1" s="1"/>
  <c r="L34" i="1"/>
  <c r="M34" i="1" s="1"/>
  <c r="N34" i="1" s="1"/>
  <c r="L33" i="1"/>
  <c r="M33" i="1" s="1"/>
  <c r="N33" i="1" s="1"/>
  <c r="L32" i="1"/>
  <c r="M32" i="1" s="1"/>
  <c r="N32" i="1" s="1"/>
  <c r="L31" i="1"/>
  <c r="M31" i="1" s="1"/>
  <c r="N31" i="1" s="1"/>
  <c r="L30" i="1"/>
  <c r="M30" i="1" s="1"/>
  <c r="N30" i="1" s="1"/>
  <c r="L29" i="1"/>
  <c r="L28" i="1"/>
  <c r="M28" i="1" s="1"/>
  <c r="N28" i="1" s="1"/>
  <c r="L27" i="1"/>
  <c r="M27" i="1" s="1"/>
  <c r="N27" i="1" s="1"/>
  <c r="L26" i="1"/>
  <c r="M26" i="1" s="1"/>
  <c r="N26" i="1" s="1"/>
  <c r="L25" i="1"/>
  <c r="M25" i="1" s="1"/>
  <c r="N25" i="1" s="1"/>
  <c r="L24" i="1"/>
  <c r="M24" i="1" s="1"/>
  <c r="N24" i="1" s="1"/>
  <c r="L23" i="1"/>
  <c r="M23" i="1" s="1"/>
  <c r="N23" i="1" s="1"/>
  <c r="L22" i="1"/>
  <c r="M22" i="1" s="1"/>
  <c r="N22" i="1" s="1"/>
  <c r="L21" i="1"/>
  <c r="M21" i="1" s="1"/>
  <c r="N21" i="1" s="1"/>
  <c r="L20" i="1"/>
  <c r="M20" i="1" s="1"/>
  <c r="N20" i="1" s="1"/>
  <c r="L19" i="1"/>
  <c r="M19" i="1" s="1"/>
  <c r="N19" i="1" s="1"/>
  <c r="L18" i="1"/>
  <c r="M18" i="1" s="1"/>
  <c r="N18" i="1" s="1"/>
  <c r="L17" i="1"/>
  <c r="M17" i="1" s="1"/>
  <c r="N17" i="1" s="1"/>
  <c r="L15" i="1"/>
  <c r="M15" i="1" s="1"/>
  <c r="N15" i="1" s="1"/>
  <c r="L14" i="1"/>
  <c r="M14" i="1" s="1"/>
  <c r="N14" i="1" s="1"/>
  <c r="L13" i="1"/>
  <c r="M13" i="1" s="1"/>
  <c r="N13" i="1" s="1"/>
  <c r="L12" i="1"/>
  <c r="M12" i="1" s="1"/>
  <c r="N12" i="1" s="1"/>
  <c r="L11" i="1"/>
  <c r="M11" i="1" s="1"/>
  <c r="N11" i="1" s="1"/>
  <c r="L10" i="1"/>
  <c r="M10" i="1" s="1"/>
  <c r="N10" i="1" s="1"/>
  <c r="L9" i="1"/>
  <c r="M9" i="1" s="1"/>
  <c r="N9" i="1" s="1"/>
  <c r="L8" i="1"/>
  <c r="M8" i="1" s="1"/>
  <c r="N8" i="1" s="1"/>
  <c r="L7" i="1"/>
  <c r="M7" i="1" s="1"/>
  <c r="N7" i="1" s="1"/>
  <c r="L6" i="1"/>
  <c r="M6" i="1" s="1"/>
  <c r="N6" i="1" s="1"/>
  <c r="L5" i="1"/>
  <c r="M5" i="1" s="1"/>
  <c r="N5" i="1" s="1"/>
  <c r="L4" i="1"/>
  <c r="M4" i="1" s="1"/>
  <c r="N4" i="1" s="1"/>
  <c r="L16" i="1"/>
  <c r="N16" i="1" s="1"/>
  <c r="M159" i="1" l="1"/>
  <c r="N159" i="1" s="1"/>
  <c r="M1134" i="1"/>
  <c r="N1134" i="1" s="1"/>
  <c r="M1056" i="1"/>
  <c r="N1056" i="1" s="1"/>
  <c r="M393" i="1"/>
  <c r="N393" i="1" s="1"/>
  <c r="M978" i="1"/>
  <c r="N978" i="1" s="1"/>
  <c r="M835" i="1"/>
  <c r="N835" i="1" s="1"/>
  <c r="M380" i="1"/>
  <c r="N380" i="1" s="1"/>
  <c r="M757" i="1"/>
  <c r="N757" i="1" s="1"/>
  <c r="M614" i="1"/>
  <c r="N614" i="1" s="1"/>
  <c r="M458" i="1"/>
  <c r="N458" i="1" s="1"/>
  <c r="M1199" i="1"/>
  <c r="N1199" i="1" s="1"/>
  <c r="M1186" i="1"/>
  <c r="N1186" i="1" s="1"/>
  <c r="M1173" i="1"/>
  <c r="N1173" i="1" s="1"/>
  <c r="M1160" i="1"/>
  <c r="N1160" i="1" s="1"/>
  <c r="M1147" i="1"/>
  <c r="N1147" i="1" s="1"/>
  <c r="M731" i="1"/>
  <c r="N731" i="1" s="1"/>
  <c r="M692" i="1"/>
  <c r="N692" i="1" s="1"/>
  <c r="M497" i="1"/>
  <c r="N497" i="1" s="1"/>
  <c r="M315" i="1"/>
  <c r="N315" i="1" s="1"/>
  <c r="M289" i="1"/>
  <c r="N289" i="1" s="1"/>
  <c r="M224" i="1"/>
  <c r="N224" i="1" s="1"/>
  <c r="M1121" i="1"/>
  <c r="N1121" i="1" s="1"/>
  <c r="M1108" i="1"/>
  <c r="N1108" i="1" s="1"/>
  <c r="M1095" i="1"/>
  <c r="N1095" i="1" s="1"/>
  <c r="M1082" i="1"/>
  <c r="N1082" i="1" s="1"/>
  <c r="M1069" i="1"/>
  <c r="N1069" i="1" s="1"/>
  <c r="M848" i="1"/>
  <c r="N848" i="1" s="1"/>
  <c r="M679" i="1"/>
  <c r="N679" i="1" s="1"/>
  <c r="M549" i="1"/>
  <c r="N549" i="1" s="1"/>
  <c r="M510" i="1"/>
  <c r="N510" i="1" s="1"/>
  <c r="M276" i="1"/>
  <c r="N276" i="1" s="1"/>
  <c r="M263" i="1"/>
  <c r="N263" i="1" s="1"/>
  <c r="M1043" i="1"/>
  <c r="N1043" i="1" s="1"/>
  <c r="M1030" i="1"/>
  <c r="N1030" i="1" s="1"/>
  <c r="M1017" i="1"/>
  <c r="N1017" i="1" s="1"/>
  <c r="M1004" i="1"/>
  <c r="N1004" i="1" s="1"/>
  <c r="M991" i="1"/>
  <c r="N991" i="1" s="1"/>
  <c r="M861" i="1"/>
  <c r="N861" i="1" s="1"/>
  <c r="M718" i="1"/>
  <c r="N718" i="1" s="1"/>
  <c r="M666" i="1"/>
  <c r="N666" i="1" s="1"/>
  <c r="M627" i="1"/>
  <c r="N627" i="1" s="1"/>
  <c r="M588" i="1"/>
  <c r="N588" i="1" s="1"/>
  <c r="M965" i="1"/>
  <c r="N965" i="1" s="1"/>
  <c r="M952" i="1"/>
  <c r="N952" i="1" s="1"/>
  <c r="M939" i="1"/>
  <c r="N939" i="1" s="1"/>
  <c r="M926" i="1"/>
  <c r="N926" i="1" s="1"/>
  <c r="M913" i="1"/>
  <c r="N913" i="1" s="1"/>
  <c r="M900" i="1"/>
  <c r="N900" i="1" s="1"/>
  <c r="M887" i="1"/>
  <c r="N887" i="1" s="1"/>
  <c r="M874" i="1"/>
  <c r="N874" i="1" s="1"/>
  <c r="M705" i="1"/>
  <c r="N705" i="1" s="1"/>
  <c r="M341" i="1"/>
  <c r="N341" i="1" s="1"/>
  <c r="M822" i="1"/>
  <c r="N822" i="1" s="1"/>
  <c r="M809" i="1"/>
  <c r="N809" i="1" s="1"/>
  <c r="M796" i="1"/>
  <c r="N796" i="1" s="1"/>
  <c r="M783" i="1"/>
  <c r="N783" i="1" s="1"/>
  <c r="M770" i="1"/>
  <c r="N770" i="1" s="1"/>
  <c r="M653" i="1"/>
  <c r="N653" i="1" s="1"/>
  <c r="M562" i="1"/>
  <c r="N562" i="1" s="1"/>
  <c r="M484" i="1"/>
  <c r="N484" i="1" s="1"/>
  <c r="M744" i="1"/>
  <c r="N744" i="1" s="1"/>
  <c r="M640" i="1"/>
  <c r="N640" i="1" s="1"/>
  <c r="M575" i="1"/>
  <c r="N575" i="1" s="1"/>
  <c r="M471" i="1"/>
  <c r="N471" i="1" s="1"/>
  <c r="M302" i="1"/>
  <c r="N302" i="1" s="1"/>
  <c r="M237" i="1"/>
  <c r="N237" i="1" s="1"/>
  <c r="M185" i="1"/>
  <c r="N185" i="1" s="1"/>
  <c r="M601" i="1"/>
  <c r="N601" i="1" s="1"/>
  <c r="M536" i="1"/>
  <c r="N536" i="1" s="1"/>
  <c r="M523" i="1"/>
  <c r="N523" i="1" s="1"/>
  <c r="M198" i="1"/>
  <c r="N198" i="1" s="1"/>
  <c r="M445" i="1"/>
  <c r="N445" i="1" s="1"/>
  <c r="M432" i="1"/>
  <c r="N432" i="1" s="1"/>
  <c r="M419" i="1"/>
  <c r="N419" i="1" s="1"/>
  <c r="M406" i="1"/>
  <c r="N406" i="1" s="1"/>
  <c r="M172" i="1"/>
  <c r="N172" i="1" s="1"/>
  <c r="M367" i="1"/>
  <c r="N367" i="1" s="1"/>
  <c r="M354" i="1"/>
  <c r="N354" i="1" s="1"/>
  <c r="M328" i="1"/>
  <c r="N328" i="1" s="1"/>
  <c r="M250" i="1"/>
  <c r="N250" i="1" s="1"/>
  <c r="M211" i="1"/>
  <c r="N211" i="1" s="1"/>
  <c r="M146" i="1"/>
  <c r="N146" i="1" s="1"/>
  <c r="M133" i="1"/>
  <c r="N133" i="1" s="1"/>
  <c r="M120" i="1"/>
  <c r="N120" i="1" s="1"/>
  <c r="M107" i="1"/>
  <c r="N107" i="1" s="1"/>
  <c r="M94" i="1"/>
  <c r="N94" i="1" s="1"/>
  <c r="M81" i="1"/>
  <c r="N81" i="1" s="1"/>
  <c r="M68" i="1"/>
  <c r="N68" i="1" s="1"/>
  <c r="M55" i="1"/>
  <c r="N55" i="1" s="1"/>
  <c r="M42" i="1"/>
  <c r="N42" i="1" s="1"/>
  <c r="M29" i="1"/>
  <c r="N29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C7EFB6F-9577-4CD4-9609-21B257C3E309}" keepAlive="1" name="Query - DailyData" description="Connection to the 'DailyData' query in the workbook." type="5" refreshedVersion="8" background="1" saveData="1">
    <dbPr connection="Provider=Microsoft.Mashup.OleDb.1;Data Source=$Workbook$;Location=DailyData;Extended Properties=&quot;&quot;" command="SELECT * FROM [DailyData]"/>
  </connection>
</connections>
</file>

<file path=xl/sharedStrings.xml><?xml version="1.0" encoding="utf-8"?>
<sst xmlns="http://schemas.openxmlformats.org/spreadsheetml/2006/main" count="1211" uniqueCount="27">
  <si>
    <t>Date</t>
  </si>
  <si>
    <t>Ticker</t>
  </si>
  <si>
    <t>Shares</t>
  </si>
  <si>
    <t>Open</t>
  </si>
  <si>
    <t>High</t>
  </si>
  <si>
    <t>Low</t>
  </si>
  <si>
    <t>Close</t>
  </si>
  <si>
    <t>Volume</t>
  </si>
  <si>
    <t>Value</t>
  </si>
  <si>
    <t>ALK.AX</t>
  </si>
  <si>
    <t>AMP.AX</t>
  </si>
  <si>
    <t>ASM.AX</t>
  </si>
  <si>
    <t>BHP.AX</t>
  </si>
  <si>
    <t>CAN.AX</t>
  </si>
  <si>
    <t>CBA.AX</t>
  </si>
  <si>
    <t>CNB.AX</t>
  </si>
  <si>
    <t>E25.AX</t>
  </si>
  <si>
    <t>ERA.AX</t>
  </si>
  <si>
    <t>PTR.AX</t>
  </si>
  <si>
    <t>VML.AX</t>
  </si>
  <si>
    <t>WBC.AX</t>
  </si>
  <si>
    <t>WDS.AX</t>
  </si>
  <si>
    <t>Column1</t>
  </si>
  <si>
    <t>Column2</t>
  </si>
  <si>
    <t>Column3</t>
  </si>
  <si>
    <t>Balance</t>
  </si>
  <si>
    <t>Change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</si>
</sst>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8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12">
    <xf numFmtId="0" fontId="0" fillId="0" borderId="0" xfId="0"/>
    <xf numFmtId="14" fontId="0" fillId="0" borderId="0" xfId="0" applyNumberFormat="1"/>
    <xf numFmtId="0" fontId="0" fillId="0" borderId="0" xfId="0" applyNumberFormat="1"/>
    <xf numFmtId="0" fontId="1" fillId="2" borderId="1" xfId="0" applyFont="1" applyFill="1" applyBorder="1"/>
    <xf numFmtId="0" fontId="1" fillId="2" borderId="2" xfId="0" applyFont="1" applyFill="1" applyBorder="1"/>
    <xf numFmtId="0" fontId="0" fillId="3" borderId="2" xfId="0" applyFont="1" applyFill="1" applyBorder="1"/>
    <xf numFmtId="0" fontId="0" fillId="0" borderId="2" xfId="0" applyFont="1" applyBorder="1"/>
    <xf numFmtId="14" fontId="0" fillId="3" borderId="1" xfId="0" applyNumberFormat="1" applyFont="1" applyFill="1" applyBorder="1"/>
    <xf numFmtId="14" fontId="0" fillId="0" borderId="1" xfId="0" applyNumberFormat="1" applyFont="1" applyBorder="1"/>
    <xf numFmtId="0" fontId="0" fillId="4" borderId="0" xfId="0" applyFill="1"/>
    <xf numFmtId="14" fontId="0" fillId="4" borderId="0" xfId="0" applyNumberFormat="1" applyFill="1"/>
    <xf numFmtId="0" fontId="0" fillId="5" borderId="0" xfId="0" applyFill="1"/>
  </cellXfs>
  <cellStyles count="1">
    <cellStyle name="Normal" xfId="0" builtinId="0"/>
  </cellStyles>
  <dxfs count="3">
    <dxf>
      <numFmt numFmtId="19" formatCode="d/mm/yyyy"/>
    </dxf>
    <dxf>
      <numFmt numFmtId="0" formatCode="General"/>
    </dxf>
    <dxf>
      <numFmt numFmtId="19" formatCode="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Sheet1!$R$3</c:f>
              <c:strCache>
                <c:ptCount val="1"/>
                <c:pt idx="0">
                  <c:v>Balance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Sheet1!$Q$4:$Q$94</c:f>
              <c:numCache>
                <c:formatCode>m/d/yyyy</c:formatCode>
                <c:ptCount val="91"/>
                <c:pt idx="0">
                  <c:v>45839</c:v>
                </c:pt>
                <c:pt idx="1">
                  <c:v>45840</c:v>
                </c:pt>
                <c:pt idx="2">
                  <c:v>45841</c:v>
                </c:pt>
                <c:pt idx="3">
                  <c:v>45842</c:v>
                </c:pt>
                <c:pt idx="4">
                  <c:v>45845</c:v>
                </c:pt>
                <c:pt idx="5">
                  <c:v>45846</c:v>
                </c:pt>
                <c:pt idx="6">
                  <c:v>45847</c:v>
                </c:pt>
                <c:pt idx="7">
                  <c:v>45848</c:v>
                </c:pt>
                <c:pt idx="8">
                  <c:v>45849</c:v>
                </c:pt>
                <c:pt idx="9">
                  <c:v>45852</c:v>
                </c:pt>
                <c:pt idx="10">
                  <c:v>45853</c:v>
                </c:pt>
                <c:pt idx="11">
                  <c:v>45854</c:v>
                </c:pt>
                <c:pt idx="12">
                  <c:v>45855</c:v>
                </c:pt>
                <c:pt idx="13">
                  <c:v>45856</c:v>
                </c:pt>
                <c:pt idx="14">
                  <c:v>45859</c:v>
                </c:pt>
                <c:pt idx="15">
                  <c:v>45860</c:v>
                </c:pt>
                <c:pt idx="16">
                  <c:v>45861</c:v>
                </c:pt>
                <c:pt idx="17">
                  <c:v>45862</c:v>
                </c:pt>
                <c:pt idx="18">
                  <c:v>45863</c:v>
                </c:pt>
                <c:pt idx="19">
                  <c:v>45866</c:v>
                </c:pt>
                <c:pt idx="20">
                  <c:v>45867</c:v>
                </c:pt>
                <c:pt idx="21">
                  <c:v>45868</c:v>
                </c:pt>
                <c:pt idx="22">
                  <c:v>45869</c:v>
                </c:pt>
                <c:pt idx="23">
                  <c:v>45870</c:v>
                </c:pt>
                <c:pt idx="24">
                  <c:v>45873</c:v>
                </c:pt>
                <c:pt idx="25">
                  <c:v>45874</c:v>
                </c:pt>
                <c:pt idx="26">
                  <c:v>45875</c:v>
                </c:pt>
                <c:pt idx="27">
                  <c:v>45876</c:v>
                </c:pt>
                <c:pt idx="28">
                  <c:v>45877</c:v>
                </c:pt>
                <c:pt idx="29">
                  <c:v>45880</c:v>
                </c:pt>
                <c:pt idx="30">
                  <c:v>45881</c:v>
                </c:pt>
                <c:pt idx="31">
                  <c:v>45882</c:v>
                </c:pt>
                <c:pt idx="32">
                  <c:v>45883</c:v>
                </c:pt>
                <c:pt idx="33">
                  <c:v>45884</c:v>
                </c:pt>
                <c:pt idx="34">
                  <c:v>45887</c:v>
                </c:pt>
                <c:pt idx="35">
                  <c:v>45888</c:v>
                </c:pt>
                <c:pt idx="36">
                  <c:v>45889</c:v>
                </c:pt>
                <c:pt idx="37">
                  <c:v>45890</c:v>
                </c:pt>
                <c:pt idx="38">
                  <c:v>45891</c:v>
                </c:pt>
                <c:pt idx="39">
                  <c:v>45894</c:v>
                </c:pt>
                <c:pt idx="40">
                  <c:v>45895</c:v>
                </c:pt>
                <c:pt idx="41">
                  <c:v>45896</c:v>
                </c:pt>
                <c:pt idx="42">
                  <c:v>45897</c:v>
                </c:pt>
                <c:pt idx="43">
                  <c:v>45898</c:v>
                </c:pt>
                <c:pt idx="44">
                  <c:v>45901</c:v>
                </c:pt>
                <c:pt idx="45">
                  <c:v>45902</c:v>
                </c:pt>
                <c:pt idx="46">
                  <c:v>45903</c:v>
                </c:pt>
                <c:pt idx="47">
                  <c:v>45904</c:v>
                </c:pt>
                <c:pt idx="48">
                  <c:v>45905</c:v>
                </c:pt>
                <c:pt idx="49">
                  <c:v>45908</c:v>
                </c:pt>
                <c:pt idx="50">
                  <c:v>45909</c:v>
                </c:pt>
                <c:pt idx="51">
                  <c:v>45910</c:v>
                </c:pt>
                <c:pt idx="52">
                  <c:v>45911</c:v>
                </c:pt>
                <c:pt idx="53">
                  <c:v>45912</c:v>
                </c:pt>
                <c:pt idx="54">
                  <c:v>45915</c:v>
                </c:pt>
                <c:pt idx="55">
                  <c:v>45916</c:v>
                </c:pt>
                <c:pt idx="56">
                  <c:v>45917</c:v>
                </c:pt>
                <c:pt idx="57">
                  <c:v>45918</c:v>
                </c:pt>
                <c:pt idx="58">
                  <c:v>45919</c:v>
                </c:pt>
                <c:pt idx="59">
                  <c:v>45922</c:v>
                </c:pt>
                <c:pt idx="60">
                  <c:v>45923</c:v>
                </c:pt>
                <c:pt idx="61">
                  <c:v>45924</c:v>
                </c:pt>
                <c:pt idx="62">
                  <c:v>45925</c:v>
                </c:pt>
                <c:pt idx="63">
                  <c:v>45926</c:v>
                </c:pt>
                <c:pt idx="64">
                  <c:v>45929</c:v>
                </c:pt>
                <c:pt idx="65">
                  <c:v>45930</c:v>
                </c:pt>
                <c:pt idx="66">
                  <c:v>45931</c:v>
                </c:pt>
                <c:pt idx="67">
                  <c:v>45932</c:v>
                </c:pt>
                <c:pt idx="68">
                  <c:v>45933</c:v>
                </c:pt>
                <c:pt idx="69">
                  <c:v>45936</c:v>
                </c:pt>
                <c:pt idx="70">
                  <c:v>45937</c:v>
                </c:pt>
                <c:pt idx="71">
                  <c:v>45938</c:v>
                </c:pt>
                <c:pt idx="72">
                  <c:v>45939</c:v>
                </c:pt>
                <c:pt idx="73">
                  <c:v>45940</c:v>
                </c:pt>
                <c:pt idx="74">
                  <c:v>45943</c:v>
                </c:pt>
                <c:pt idx="75">
                  <c:v>45944</c:v>
                </c:pt>
                <c:pt idx="76">
                  <c:v>45945</c:v>
                </c:pt>
                <c:pt idx="77">
                  <c:v>45946</c:v>
                </c:pt>
                <c:pt idx="78">
                  <c:v>45947</c:v>
                </c:pt>
                <c:pt idx="79">
                  <c:v>45950</c:v>
                </c:pt>
                <c:pt idx="80">
                  <c:v>45951</c:v>
                </c:pt>
                <c:pt idx="81">
                  <c:v>45952</c:v>
                </c:pt>
                <c:pt idx="82">
                  <c:v>45953</c:v>
                </c:pt>
                <c:pt idx="83">
                  <c:v>45954</c:v>
                </c:pt>
                <c:pt idx="84">
                  <c:v>45957</c:v>
                </c:pt>
                <c:pt idx="85">
                  <c:v>45958</c:v>
                </c:pt>
                <c:pt idx="86">
                  <c:v>45959</c:v>
                </c:pt>
                <c:pt idx="87">
                  <c:v>45960</c:v>
                </c:pt>
                <c:pt idx="88">
                  <c:v>45961</c:v>
                </c:pt>
                <c:pt idx="89">
                  <c:v>45964</c:v>
                </c:pt>
                <c:pt idx="90">
                  <c:v>45965</c:v>
                </c:pt>
              </c:numCache>
            </c:numRef>
          </c:cat>
          <c:val>
            <c:numRef>
              <c:f>Sheet1!$R$4:$R$94</c:f>
              <c:numCache>
                <c:formatCode>General</c:formatCode>
                <c:ptCount val="91"/>
                <c:pt idx="0">
                  <c:v>874384.41999999993</c:v>
                </c:pt>
                <c:pt idx="1">
                  <c:v>886933.91999999993</c:v>
                </c:pt>
                <c:pt idx="2">
                  <c:v>923488.69999999984</c:v>
                </c:pt>
                <c:pt idx="3">
                  <c:v>918849.41000000015</c:v>
                </c:pt>
                <c:pt idx="4">
                  <c:v>912620.88</c:v>
                </c:pt>
                <c:pt idx="5">
                  <c:v>912113.56</c:v>
                </c:pt>
                <c:pt idx="6">
                  <c:v>906657.23999999987</c:v>
                </c:pt>
                <c:pt idx="7">
                  <c:v>907999.75000000012</c:v>
                </c:pt>
                <c:pt idx="8">
                  <c:v>926554.71</c:v>
                </c:pt>
                <c:pt idx="9">
                  <c:v>938906.32</c:v>
                </c:pt>
                <c:pt idx="10">
                  <c:v>909076.79999999993</c:v>
                </c:pt>
                <c:pt idx="11">
                  <c:v>935733.11999999988</c:v>
                </c:pt>
                <c:pt idx="12">
                  <c:v>931237.86999999988</c:v>
                </c:pt>
                <c:pt idx="13">
                  <c:v>952855.23999999976</c:v>
                </c:pt>
                <c:pt idx="14">
                  <c:v>967285.42</c:v>
                </c:pt>
                <c:pt idx="15">
                  <c:v>984217.95</c:v>
                </c:pt>
                <c:pt idx="16">
                  <c:v>996140.87</c:v>
                </c:pt>
                <c:pt idx="17">
                  <c:v>994489.77</c:v>
                </c:pt>
                <c:pt idx="18">
                  <c:v>978743.51</c:v>
                </c:pt>
                <c:pt idx="19">
                  <c:v>964695.37000000011</c:v>
                </c:pt>
                <c:pt idx="20">
                  <c:v>966659.06</c:v>
                </c:pt>
                <c:pt idx="21">
                  <c:v>969198.13</c:v>
                </c:pt>
                <c:pt idx="22">
                  <c:v>944629.98</c:v>
                </c:pt>
                <c:pt idx="23">
                  <c:v>943451.12</c:v>
                </c:pt>
                <c:pt idx="24">
                  <c:v>947677.46999999986</c:v>
                </c:pt>
                <c:pt idx="25">
                  <c:v>959867.17</c:v>
                </c:pt>
                <c:pt idx="26">
                  <c:v>970946.56000000006</c:v>
                </c:pt>
                <c:pt idx="27">
                  <c:v>985105.68</c:v>
                </c:pt>
                <c:pt idx="28">
                  <c:v>1002268.1500000001</c:v>
                </c:pt>
                <c:pt idx="29">
                  <c:v>1011088.6100000001</c:v>
                </c:pt>
                <c:pt idx="30">
                  <c:v>1001954.3999999999</c:v>
                </c:pt>
                <c:pt idx="31">
                  <c:v>1013226.5900000001</c:v>
                </c:pt>
                <c:pt idx="32">
                  <c:v>1013478.5599999999</c:v>
                </c:pt>
                <c:pt idx="33">
                  <c:v>1032004.92</c:v>
                </c:pt>
                <c:pt idx="34">
                  <c:v>1031355.21</c:v>
                </c:pt>
                <c:pt idx="35">
                  <c:v>1038300.58</c:v>
                </c:pt>
                <c:pt idx="36">
                  <c:v>1027600.2399999999</c:v>
                </c:pt>
                <c:pt idx="37">
                  <c:v>1034882.5299999999</c:v>
                </c:pt>
                <c:pt idx="38">
                  <c:v>1031066.46</c:v>
                </c:pt>
                <c:pt idx="39">
                  <c:v>1063360.53</c:v>
                </c:pt>
                <c:pt idx="40">
                  <c:v>1049612.95</c:v>
                </c:pt>
                <c:pt idx="41">
                  <c:v>1071280.3899999999</c:v>
                </c:pt>
                <c:pt idx="42">
                  <c:v>1067157.8899999999</c:v>
                </c:pt>
                <c:pt idx="43">
                  <c:v>1070867.01</c:v>
                </c:pt>
                <c:pt idx="44">
                  <c:v>1072169.99</c:v>
                </c:pt>
                <c:pt idx="45">
                  <c:v>1076789.1399999999</c:v>
                </c:pt>
                <c:pt idx="46">
                  <c:v>1068416.98</c:v>
                </c:pt>
                <c:pt idx="47">
                  <c:v>1058158.2</c:v>
                </c:pt>
                <c:pt idx="48">
                  <c:v>1050712.57</c:v>
                </c:pt>
                <c:pt idx="49">
                  <c:v>1050099.27</c:v>
                </c:pt>
                <c:pt idx="50">
                  <c:v>1042733.2699999999</c:v>
                </c:pt>
                <c:pt idx="51">
                  <c:v>1022823.4600000001</c:v>
                </c:pt>
                <c:pt idx="52">
                  <c:v>1015744.52</c:v>
                </c:pt>
                <c:pt idx="53">
                  <c:v>1021463.51</c:v>
                </c:pt>
                <c:pt idx="54">
                  <c:v>1024552.36</c:v>
                </c:pt>
                <c:pt idx="55">
                  <c:v>1025743.63</c:v>
                </c:pt>
                <c:pt idx="56">
                  <c:v>1021941.02</c:v>
                </c:pt>
                <c:pt idx="57">
                  <c:v>1008615.6</c:v>
                </c:pt>
                <c:pt idx="58">
                  <c:v>1006523.25</c:v>
                </c:pt>
                <c:pt idx="59">
                  <c:v>1027789.0700000001</c:v>
                </c:pt>
                <c:pt idx="60">
                  <c:v>1035220.8400000001</c:v>
                </c:pt>
                <c:pt idx="61">
                  <c:v>1039419.4600000002</c:v>
                </c:pt>
                <c:pt idx="62">
                  <c:v>1042685.5899999999</c:v>
                </c:pt>
                <c:pt idx="63">
                  <c:v>1055663.47</c:v>
                </c:pt>
                <c:pt idx="64">
                  <c:v>1058381.7899999998</c:v>
                </c:pt>
                <c:pt idx="65">
                  <c:v>1065252.3800000001</c:v>
                </c:pt>
                <c:pt idx="66">
                  <c:v>1050376.1499999999</c:v>
                </c:pt>
                <c:pt idx="67">
                  <c:v>1065013.22</c:v>
                </c:pt>
                <c:pt idx="68">
                  <c:v>1067207.52</c:v>
                </c:pt>
                <c:pt idx="69">
                  <c:v>1074229.9800000002</c:v>
                </c:pt>
                <c:pt idx="70">
                  <c:v>1077914.04</c:v>
                </c:pt>
                <c:pt idx="71">
                  <c:v>1076446.28</c:v>
                </c:pt>
                <c:pt idx="72">
                  <c:v>1098087.3199999998</c:v>
                </c:pt>
                <c:pt idx="73">
                  <c:v>1072665.6199999999</c:v>
                </c:pt>
                <c:pt idx="74">
                  <c:v>1092080.8200000003</c:v>
                </c:pt>
                <c:pt idx="75">
                  <c:v>1165639.4700000002</c:v>
                </c:pt>
                <c:pt idx="76">
                  <c:v>1168518.24</c:v>
                </c:pt>
                <c:pt idx="77">
                  <c:v>1167615.4900000002</c:v>
                </c:pt>
                <c:pt idx="78">
                  <c:v>1150459.46</c:v>
                </c:pt>
                <c:pt idx="79">
                  <c:v>1124817.3800000001</c:v>
                </c:pt>
                <c:pt idx="80">
                  <c:v>1152678.78</c:v>
                </c:pt>
                <c:pt idx="81">
                  <c:v>1124475.96</c:v>
                </c:pt>
                <c:pt idx="82">
                  <c:v>1111592.75</c:v>
                </c:pt>
                <c:pt idx="83">
                  <c:v>1103121.5899999999</c:v>
                </c:pt>
                <c:pt idx="84">
                  <c:v>1098653.9199999997</c:v>
                </c:pt>
                <c:pt idx="85">
                  <c:v>1081061.26</c:v>
                </c:pt>
                <c:pt idx="86">
                  <c:v>1100406.49</c:v>
                </c:pt>
                <c:pt idx="87">
                  <c:v>1090719.8800000001</c:v>
                </c:pt>
                <c:pt idx="88">
                  <c:v>1096351.78</c:v>
                </c:pt>
                <c:pt idx="89">
                  <c:v>1090873.0900000001</c:v>
                </c:pt>
                <c:pt idx="90">
                  <c:v>1074973.3799999999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60-46E5-B668-A2962EBBED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15310352"/>
        <c:axId val="915307952"/>
      </c:lineChart>
      <c:lineChart>
        <c:grouping val="standard"/>
        <c:varyColors val="0"/>
        <c:ser>
          <c:idx val="1"/>
          <c:order val="1"/>
          <c:tx>
            <c:strRef>
              <c:f>Sheet1!$S$3</c:f>
              <c:strCache>
                <c:ptCount val="1"/>
                <c:pt idx="0">
                  <c:v>Change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Sheet1!$Q$4:$Q$94</c:f>
              <c:numCache>
                <c:formatCode>m/d/yyyy</c:formatCode>
                <c:ptCount val="91"/>
                <c:pt idx="0">
                  <c:v>45839</c:v>
                </c:pt>
                <c:pt idx="1">
                  <c:v>45840</c:v>
                </c:pt>
                <c:pt idx="2">
                  <c:v>45841</c:v>
                </c:pt>
                <c:pt idx="3">
                  <c:v>45842</c:v>
                </c:pt>
                <c:pt idx="4">
                  <c:v>45845</c:v>
                </c:pt>
                <c:pt idx="5">
                  <c:v>45846</c:v>
                </c:pt>
                <c:pt idx="6">
                  <c:v>45847</c:v>
                </c:pt>
                <c:pt idx="7">
                  <c:v>45848</c:v>
                </c:pt>
                <c:pt idx="8">
                  <c:v>45849</c:v>
                </c:pt>
                <c:pt idx="9">
                  <c:v>45852</c:v>
                </c:pt>
                <c:pt idx="10">
                  <c:v>45853</c:v>
                </c:pt>
                <c:pt idx="11">
                  <c:v>45854</c:v>
                </c:pt>
                <c:pt idx="12">
                  <c:v>45855</c:v>
                </c:pt>
                <c:pt idx="13">
                  <c:v>45856</c:v>
                </c:pt>
                <c:pt idx="14">
                  <c:v>45859</c:v>
                </c:pt>
                <c:pt idx="15">
                  <c:v>45860</c:v>
                </c:pt>
                <c:pt idx="16">
                  <c:v>45861</c:v>
                </c:pt>
                <c:pt idx="17">
                  <c:v>45862</c:v>
                </c:pt>
                <c:pt idx="18">
                  <c:v>45863</c:v>
                </c:pt>
                <c:pt idx="19">
                  <c:v>45866</c:v>
                </c:pt>
                <c:pt idx="20">
                  <c:v>45867</c:v>
                </c:pt>
                <c:pt idx="21">
                  <c:v>45868</c:v>
                </c:pt>
                <c:pt idx="22">
                  <c:v>45869</c:v>
                </c:pt>
                <c:pt idx="23">
                  <c:v>45870</c:v>
                </c:pt>
                <c:pt idx="24">
                  <c:v>45873</c:v>
                </c:pt>
                <c:pt idx="25">
                  <c:v>45874</c:v>
                </c:pt>
                <c:pt idx="26">
                  <c:v>45875</c:v>
                </c:pt>
                <c:pt idx="27">
                  <c:v>45876</c:v>
                </c:pt>
                <c:pt idx="28">
                  <c:v>45877</c:v>
                </c:pt>
                <c:pt idx="29">
                  <c:v>45880</c:v>
                </c:pt>
                <c:pt idx="30">
                  <c:v>45881</c:v>
                </c:pt>
                <c:pt idx="31">
                  <c:v>45882</c:v>
                </c:pt>
                <c:pt idx="32">
                  <c:v>45883</c:v>
                </c:pt>
                <c:pt idx="33">
                  <c:v>45884</c:v>
                </c:pt>
                <c:pt idx="34">
                  <c:v>45887</c:v>
                </c:pt>
                <c:pt idx="35">
                  <c:v>45888</c:v>
                </c:pt>
                <c:pt idx="36">
                  <c:v>45889</c:v>
                </c:pt>
                <c:pt idx="37">
                  <c:v>45890</c:v>
                </c:pt>
                <c:pt idx="38">
                  <c:v>45891</c:v>
                </c:pt>
                <c:pt idx="39">
                  <c:v>45894</c:v>
                </c:pt>
                <c:pt idx="40">
                  <c:v>45895</c:v>
                </c:pt>
                <c:pt idx="41">
                  <c:v>45896</c:v>
                </c:pt>
                <c:pt idx="42">
                  <c:v>45897</c:v>
                </c:pt>
                <c:pt idx="43">
                  <c:v>45898</c:v>
                </c:pt>
                <c:pt idx="44">
                  <c:v>45901</c:v>
                </c:pt>
                <c:pt idx="45">
                  <c:v>45902</c:v>
                </c:pt>
                <c:pt idx="46">
                  <c:v>45903</c:v>
                </c:pt>
                <c:pt idx="47">
                  <c:v>45904</c:v>
                </c:pt>
                <c:pt idx="48">
                  <c:v>45905</c:v>
                </c:pt>
                <c:pt idx="49">
                  <c:v>45908</c:v>
                </c:pt>
                <c:pt idx="50">
                  <c:v>45909</c:v>
                </c:pt>
                <c:pt idx="51">
                  <c:v>45910</c:v>
                </c:pt>
                <c:pt idx="52">
                  <c:v>45911</c:v>
                </c:pt>
                <c:pt idx="53">
                  <c:v>45912</c:v>
                </c:pt>
                <c:pt idx="54">
                  <c:v>45915</c:v>
                </c:pt>
                <c:pt idx="55">
                  <c:v>45916</c:v>
                </c:pt>
                <c:pt idx="56">
                  <c:v>45917</c:v>
                </c:pt>
                <c:pt idx="57">
                  <c:v>45918</c:v>
                </c:pt>
                <c:pt idx="58">
                  <c:v>45919</c:v>
                </c:pt>
                <c:pt idx="59">
                  <c:v>45922</c:v>
                </c:pt>
                <c:pt idx="60">
                  <c:v>45923</c:v>
                </c:pt>
                <c:pt idx="61">
                  <c:v>45924</c:v>
                </c:pt>
                <c:pt idx="62">
                  <c:v>45925</c:v>
                </c:pt>
                <c:pt idx="63">
                  <c:v>45926</c:v>
                </c:pt>
                <c:pt idx="64">
                  <c:v>45929</c:v>
                </c:pt>
                <c:pt idx="65">
                  <c:v>45930</c:v>
                </c:pt>
                <c:pt idx="66">
                  <c:v>45931</c:v>
                </c:pt>
                <c:pt idx="67">
                  <c:v>45932</c:v>
                </c:pt>
                <c:pt idx="68">
                  <c:v>45933</c:v>
                </c:pt>
                <c:pt idx="69">
                  <c:v>45936</c:v>
                </c:pt>
                <c:pt idx="70">
                  <c:v>45937</c:v>
                </c:pt>
                <c:pt idx="71">
                  <c:v>45938</c:v>
                </c:pt>
                <c:pt idx="72">
                  <c:v>45939</c:v>
                </c:pt>
                <c:pt idx="73">
                  <c:v>45940</c:v>
                </c:pt>
                <c:pt idx="74">
                  <c:v>45943</c:v>
                </c:pt>
                <c:pt idx="75">
                  <c:v>45944</c:v>
                </c:pt>
                <c:pt idx="76">
                  <c:v>45945</c:v>
                </c:pt>
                <c:pt idx="77">
                  <c:v>45946</c:v>
                </c:pt>
                <c:pt idx="78">
                  <c:v>45947</c:v>
                </c:pt>
                <c:pt idx="79">
                  <c:v>45950</c:v>
                </c:pt>
                <c:pt idx="80">
                  <c:v>45951</c:v>
                </c:pt>
                <c:pt idx="81">
                  <c:v>45952</c:v>
                </c:pt>
                <c:pt idx="82">
                  <c:v>45953</c:v>
                </c:pt>
                <c:pt idx="83">
                  <c:v>45954</c:v>
                </c:pt>
                <c:pt idx="84">
                  <c:v>45957</c:v>
                </c:pt>
                <c:pt idx="85">
                  <c:v>45958</c:v>
                </c:pt>
                <c:pt idx="86">
                  <c:v>45959</c:v>
                </c:pt>
                <c:pt idx="87">
                  <c:v>45960</c:v>
                </c:pt>
                <c:pt idx="88">
                  <c:v>45961</c:v>
                </c:pt>
                <c:pt idx="89">
                  <c:v>45964</c:v>
                </c:pt>
                <c:pt idx="90">
                  <c:v>45965</c:v>
                </c:pt>
              </c:numCache>
            </c:numRef>
          </c:cat>
          <c:val>
            <c:numRef>
              <c:f>Sheet1!$S$4:$S$94</c:f>
              <c:numCache>
                <c:formatCode>General</c:formatCode>
                <c:ptCount val="91"/>
                <c:pt idx="0">
                  <c:v>1453.4899999999907</c:v>
                </c:pt>
                <c:pt idx="1">
                  <c:v>12549.5</c:v>
                </c:pt>
                <c:pt idx="2">
                  <c:v>36554.779999999912</c:v>
                </c:pt>
                <c:pt idx="3">
                  <c:v>-4639.289999999688</c:v>
                </c:pt>
                <c:pt idx="4">
                  <c:v>-6228.5300000001444</c:v>
                </c:pt>
                <c:pt idx="5">
                  <c:v>-507.31999999994878</c:v>
                </c:pt>
                <c:pt idx="6">
                  <c:v>-5456.3200000001816</c:v>
                </c:pt>
                <c:pt idx="7">
                  <c:v>1342.5100000002421</c:v>
                </c:pt>
                <c:pt idx="8">
                  <c:v>18554.959999999846</c:v>
                </c:pt>
                <c:pt idx="9">
                  <c:v>12351.609999999986</c:v>
                </c:pt>
                <c:pt idx="10">
                  <c:v>-29829.520000000019</c:v>
                </c:pt>
                <c:pt idx="11">
                  <c:v>26656.319999999949</c:v>
                </c:pt>
                <c:pt idx="12">
                  <c:v>-4495.25</c:v>
                </c:pt>
                <c:pt idx="13">
                  <c:v>21617.369999999879</c:v>
                </c:pt>
                <c:pt idx="14">
                  <c:v>14430.180000000284</c:v>
                </c:pt>
                <c:pt idx="15">
                  <c:v>16932.529999999912</c:v>
                </c:pt>
                <c:pt idx="16">
                  <c:v>11922.920000000042</c:v>
                </c:pt>
                <c:pt idx="17">
                  <c:v>-1651.0999999999767</c:v>
                </c:pt>
                <c:pt idx="18">
                  <c:v>-15746.260000000009</c:v>
                </c:pt>
                <c:pt idx="19">
                  <c:v>-14048.139999999898</c:v>
                </c:pt>
                <c:pt idx="20">
                  <c:v>1963.6899999999441</c:v>
                </c:pt>
                <c:pt idx="21">
                  <c:v>2539.0699999999488</c:v>
                </c:pt>
                <c:pt idx="22">
                  <c:v>-24568.150000000023</c:v>
                </c:pt>
                <c:pt idx="23">
                  <c:v>-1178.859999999986</c:v>
                </c:pt>
                <c:pt idx="24">
                  <c:v>4226.3499999998603</c:v>
                </c:pt>
                <c:pt idx="25">
                  <c:v>12189.700000000186</c:v>
                </c:pt>
                <c:pt idx="26">
                  <c:v>11079.390000000014</c:v>
                </c:pt>
                <c:pt idx="27">
                  <c:v>14159.119999999995</c:v>
                </c:pt>
                <c:pt idx="28">
                  <c:v>17162.470000000088</c:v>
                </c:pt>
                <c:pt idx="29">
                  <c:v>8820.4599999999627</c:v>
                </c:pt>
                <c:pt idx="30">
                  <c:v>-9134.2100000001956</c:v>
                </c:pt>
                <c:pt idx="31">
                  <c:v>11272.190000000177</c:v>
                </c:pt>
                <c:pt idx="32">
                  <c:v>251.96999999985565</c:v>
                </c:pt>
                <c:pt idx="33">
                  <c:v>18526.360000000102</c:v>
                </c:pt>
                <c:pt idx="34">
                  <c:v>-649.71000000007916</c:v>
                </c:pt>
                <c:pt idx="35">
                  <c:v>6945.3699999999953</c:v>
                </c:pt>
                <c:pt idx="36">
                  <c:v>-10700.340000000084</c:v>
                </c:pt>
                <c:pt idx="37">
                  <c:v>7282.2900000000373</c:v>
                </c:pt>
                <c:pt idx="38">
                  <c:v>-3816.0699999999488</c:v>
                </c:pt>
                <c:pt idx="39">
                  <c:v>32294.070000000065</c:v>
                </c:pt>
                <c:pt idx="40">
                  <c:v>-13747.580000000075</c:v>
                </c:pt>
                <c:pt idx="41">
                  <c:v>21667.439999999944</c:v>
                </c:pt>
                <c:pt idx="42">
                  <c:v>-4122.5</c:v>
                </c:pt>
                <c:pt idx="43">
                  <c:v>3709.1200000001118</c:v>
                </c:pt>
                <c:pt idx="44">
                  <c:v>1302.9799999999814</c:v>
                </c:pt>
                <c:pt idx="45">
                  <c:v>4619.1499999999069</c:v>
                </c:pt>
                <c:pt idx="46">
                  <c:v>-8372.1599999999162</c:v>
                </c:pt>
                <c:pt idx="47">
                  <c:v>-10258.780000000028</c:v>
                </c:pt>
                <c:pt idx="48">
                  <c:v>-7445.6299999998882</c:v>
                </c:pt>
                <c:pt idx="49">
                  <c:v>-613.30000000004657</c:v>
                </c:pt>
                <c:pt idx="50">
                  <c:v>-7366.0000000001164</c:v>
                </c:pt>
                <c:pt idx="51">
                  <c:v>-19909.809999999823</c:v>
                </c:pt>
                <c:pt idx="52">
                  <c:v>-7078.9400000000605</c:v>
                </c:pt>
                <c:pt idx="53">
                  <c:v>5718.9899999999907</c:v>
                </c:pt>
                <c:pt idx="54">
                  <c:v>3088.8499999999767</c:v>
                </c:pt>
                <c:pt idx="55">
                  <c:v>1191.2700000000186</c:v>
                </c:pt>
                <c:pt idx="56">
                  <c:v>-3802.609999999986</c:v>
                </c:pt>
                <c:pt idx="57">
                  <c:v>-13325.420000000042</c:v>
                </c:pt>
                <c:pt idx="58">
                  <c:v>-2092.3499999999767</c:v>
                </c:pt>
                <c:pt idx="59">
                  <c:v>21265.820000000065</c:v>
                </c:pt>
                <c:pt idx="60">
                  <c:v>7431.7700000000186</c:v>
                </c:pt>
                <c:pt idx="61">
                  <c:v>4198.6200000001118</c:v>
                </c:pt>
                <c:pt idx="62">
                  <c:v>3266.1299999996554</c:v>
                </c:pt>
                <c:pt idx="63">
                  <c:v>12977.880000000121</c:v>
                </c:pt>
                <c:pt idx="64">
                  <c:v>2718.3199999998324</c:v>
                </c:pt>
                <c:pt idx="65">
                  <c:v>6870.5900000003166</c:v>
                </c:pt>
                <c:pt idx="66">
                  <c:v>-14876.230000000214</c:v>
                </c:pt>
                <c:pt idx="67">
                  <c:v>14637.070000000065</c:v>
                </c:pt>
                <c:pt idx="68">
                  <c:v>2194.3000000000466</c:v>
                </c:pt>
                <c:pt idx="69">
                  <c:v>7022.4600000001956</c:v>
                </c:pt>
                <c:pt idx="70">
                  <c:v>3684.059999999823</c:v>
                </c:pt>
                <c:pt idx="71">
                  <c:v>-1467.7600000000093</c:v>
                </c:pt>
                <c:pt idx="72">
                  <c:v>21641.039999999804</c:v>
                </c:pt>
                <c:pt idx="73">
                  <c:v>-25421.699999999953</c:v>
                </c:pt>
                <c:pt idx="74">
                  <c:v>19415.200000000419</c:v>
                </c:pt>
                <c:pt idx="75">
                  <c:v>73558.649999999907</c:v>
                </c:pt>
                <c:pt idx="76">
                  <c:v>2878.7699999997858</c:v>
                </c:pt>
                <c:pt idx="77">
                  <c:v>-902.74999999976717</c:v>
                </c:pt>
                <c:pt idx="78">
                  <c:v>-17156.030000000261</c:v>
                </c:pt>
                <c:pt idx="79">
                  <c:v>-25642.079999999842</c:v>
                </c:pt>
                <c:pt idx="80">
                  <c:v>27861.399999999907</c:v>
                </c:pt>
                <c:pt idx="81">
                  <c:v>-28202.820000000065</c:v>
                </c:pt>
                <c:pt idx="82">
                  <c:v>-12883.209999999963</c:v>
                </c:pt>
                <c:pt idx="83">
                  <c:v>-8471.160000000149</c:v>
                </c:pt>
                <c:pt idx="84">
                  <c:v>-4467.6700000001583</c:v>
                </c:pt>
                <c:pt idx="85">
                  <c:v>-17592.659999999683</c:v>
                </c:pt>
                <c:pt idx="86">
                  <c:v>19345.229999999981</c:v>
                </c:pt>
                <c:pt idx="87">
                  <c:v>-9686.6099999998696</c:v>
                </c:pt>
                <c:pt idx="88">
                  <c:v>5631.8999999999069</c:v>
                </c:pt>
                <c:pt idx="89">
                  <c:v>-5478.6899999999441</c:v>
                </c:pt>
                <c:pt idx="90">
                  <c:v>-15899.710000000196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60-46E5-B668-A2962EBBED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8008512"/>
        <c:axId val="854127808"/>
      </c:lineChart>
      <c:dateAx>
        <c:axId val="91531035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915307952"/>
        <c:crosses val="autoZero"/>
        <c:auto val="1"/>
        <c:lblOffset val="100"/>
        <c:baseTimeUnit val="days"/>
      </c:dateAx>
      <c:valAx>
        <c:axId val="915307952"/>
        <c:scaling>
          <c:orientation val="minMax"/>
          <c:max val="1200000"/>
          <c:min val="8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915310352"/>
        <c:crosses val="autoZero"/>
        <c:crossBetween val="between"/>
      </c:valAx>
      <c:valAx>
        <c:axId val="854127808"/>
        <c:scaling>
          <c:orientation val="minMax"/>
          <c:max val="20000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858008512"/>
        <c:crosses val="max"/>
        <c:crossBetween val="between"/>
      </c:valAx>
      <c:dateAx>
        <c:axId val="85800851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854127808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590549</xdr:colOff>
      <xdr:row>1</xdr:row>
      <xdr:rowOff>185736</xdr:rowOff>
    </xdr:from>
    <xdr:to>
      <xdr:col>44</xdr:col>
      <xdr:colOff>114300</xdr:colOff>
      <xdr:row>42</xdr:row>
      <xdr:rowOff>95250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5980555-AA90-C718-5AA2-5CF722B61D7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F20F95F-0AAA-4CBD-BECE-93A99DD3C69F}" autoFormatId="16" applyNumberFormats="0" applyBorderFormats="0" applyFontFormats="0" applyPatternFormats="0" applyAlignmentFormats="0" applyWidthHeightFormats="0">
  <queryTableRefresh nextId="13" unboundColumnsRight="3">
    <queryTableFields count="12">
      <queryTableField id="1" name="Date" tableColumnId="1"/>
      <queryTableField id="2" name="Ticker" tableColumnId="2"/>
      <queryTableField id="3" name="Shares" tableColumnId="3"/>
      <queryTableField id="4" name="Open" tableColumnId="4"/>
      <queryTableField id="5" name="High" tableColumnId="5"/>
      <queryTableField id="6" name="Low" tableColumnId="6"/>
      <queryTableField id="7" name="Close" tableColumnId="7"/>
      <queryTableField id="8" name="Volume" tableColumnId="8"/>
      <queryTableField id="9" name="Value" tableColumnId="9"/>
      <queryTableField id="10" dataBound="0" tableColumnId="10"/>
      <queryTableField id="11" dataBound="0" tableColumnId="11"/>
      <queryTableField id="12" dataBound="0" tableColumnId="1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5C9063-0747-44CB-BBEC-EA6F7C6D823B}" name="DailyData" displayName="DailyData" ref="C3:N1199" tableType="queryTable" totalsRowShown="0">
  <autoFilter ref="C3:N1199" xr:uid="{195C9063-0747-44CB-BBEC-EA6F7C6D823B}"/>
  <tableColumns count="12">
    <tableColumn id="1" xr3:uid="{744C1E6A-B852-40B2-8ACA-C7DA518965B4}" uniqueName="1" name="Date" queryTableFieldId="1" dataDxfId="2"/>
    <tableColumn id="2" xr3:uid="{1ED461B8-C2F3-4C81-9354-52E4E8D0F656}" uniqueName="2" name="Ticker" queryTableFieldId="2" dataDxfId="1"/>
    <tableColumn id="3" xr3:uid="{8B8C6683-B17F-40CD-9C17-5D57C90C53D6}" uniqueName="3" name="Shares" queryTableFieldId="3"/>
    <tableColumn id="4" xr3:uid="{59ED660C-1754-4781-9929-B38F079FEC9D}" uniqueName="4" name="Open" queryTableFieldId="4"/>
    <tableColumn id="5" xr3:uid="{93BB52BB-6950-4F74-8890-D8A18A77CD32}" uniqueName="5" name="High" queryTableFieldId="5"/>
    <tableColumn id="6" xr3:uid="{075D1240-3865-4D60-8A1D-19E2BD903999}" uniqueName="6" name="Low" queryTableFieldId="6"/>
    <tableColumn id="7" xr3:uid="{1DD0DAD0-6389-42BA-82E7-8DA3B4A2618A}" uniqueName="7" name="Close" queryTableFieldId="7"/>
    <tableColumn id="8" xr3:uid="{B41AA344-99FF-48AD-8A81-1F85722025C5}" uniqueName="8" name="Volume" queryTableFieldId="8"/>
    <tableColumn id="9" xr3:uid="{63C97341-0117-4C0C-B739-E989FEF0FCDB}" uniqueName="9" name="Value" queryTableFieldId="9"/>
    <tableColumn id="10" xr3:uid="{390703AF-2459-455F-8A7A-D72912D0B113}" uniqueName="10" name="Column1" queryTableFieldId="10"/>
    <tableColumn id="11" xr3:uid="{AF450264-AB0E-4031-BA1C-05778E2D9553}" uniqueName="11" name="Column2" queryTableFieldId="11"/>
    <tableColumn id="12" xr3:uid="{0559669B-EFC3-4B38-8DF5-89E965D785DD}" uniqueName="12" name="Column3" queryTableFieldId="12" dataDxfId="0">
      <calculatedColumnFormula>+IF(DailyData[[#This Row],[Column2]]=0,0,DailyData[[#This Row],[Date]])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DF1D1A-DC01-4F23-AF3A-F7F75E4AAC65}">
  <dimension ref="C3:S1199"/>
  <sheetViews>
    <sheetView tabSelected="1" topLeftCell="L1" workbookViewId="0">
      <selection activeCell="X50" sqref="X50"/>
    </sheetView>
  </sheetViews>
  <sheetFormatPr defaultRowHeight="15" x14ac:dyDescent="0.25"/>
  <cols>
    <col min="3" max="3" width="10.42578125" bestFit="1" customWidth="1"/>
    <col min="4" max="4" width="8.7109375" bestFit="1" customWidth="1"/>
    <col min="5" max="5" width="9.42578125" bestFit="1" customWidth="1"/>
    <col min="6" max="6" width="8.140625" bestFit="1" customWidth="1"/>
    <col min="7" max="8" width="8" bestFit="1" customWidth="1"/>
    <col min="9" max="9" width="8.5703125" bestFit="1" customWidth="1"/>
    <col min="10" max="10" width="10.140625" bestFit="1" customWidth="1"/>
    <col min="11" max="11" width="10" bestFit="1" customWidth="1"/>
    <col min="12" max="12" width="11.42578125" bestFit="1" customWidth="1"/>
    <col min="14" max="14" width="10.42578125" bestFit="1" customWidth="1"/>
    <col min="17" max="17" width="10.42578125" bestFit="1" customWidth="1"/>
  </cols>
  <sheetData>
    <row r="3" spans="3:19" x14ac:dyDescent="0.25">
      <c r="C3" t="s">
        <v>0</v>
      </c>
      <c r="D3" t="s">
        <v>1</v>
      </c>
      <c r="E3" t="s">
        <v>2</v>
      </c>
      <c r="F3" t="s">
        <v>3</v>
      </c>
      <c r="G3" t="s">
        <v>4</v>
      </c>
      <c r="H3" t="s">
        <v>5</v>
      </c>
      <c r="I3" t="s">
        <v>6</v>
      </c>
      <c r="J3" t="s">
        <v>7</v>
      </c>
      <c r="K3" t="s">
        <v>8</v>
      </c>
      <c r="L3" t="s">
        <v>22</v>
      </c>
      <c r="M3" t="s">
        <v>23</v>
      </c>
      <c r="N3" t="s">
        <v>24</v>
      </c>
      <c r="Q3" s="3" t="s">
        <v>0</v>
      </c>
      <c r="R3" s="4" t="s">
        <v>25</v>
      </c>
      <c r="S3" s="4" t="s">
        <v>26</v>
      </c>
    </row>
    <row r="4" spans="3:19" x14ac:dyDescent="0.25">
      <c r="C4" s="1">
        <v>45838</v>
      </c>
      <c r="D4" s="2" t="s">
        <v>9</v>
      </c>
      <c r="E4">
        <v>153181</v>
      </c>
      <c r="F4">
        <v>0.72499999999999998</v>
      </c>
      <c r="G4">
        <v>0.73499999999999999</v>
      </c>
      <c r="H4">
        <v>0.70499999999999996</v>
      </c>
      <c r="I4">
        <v>0.71499999999999997</v>
      </c>
      <c r="J4">
        <v>1593644</v>
      </c>
      <c r="K4">
        <v>109524.41</v>
      </c>
      <c r="L4" s="9">
        <f>+IF(C5&lt;&gt;C4,SUM(#REF!),0)</f>
        <v>0</v>
      </c>
      <c r="M4" s="9">
        <f>+IF(DailyData[[#This Row],[Column1]]&gt;0,DailyData[[#This Row],[Column1]]-#REF!,0)</f>
        <v>0</v>
      </c>
      <c r="N4" s="10">
        <f>+IF(DailyData[[#This Row],[Column2]]=0,0,DailyData[[#This Row],[Date]])</f>
        <v>0</v>
      </c>
      <c r="Q4" s="8">
        <v>45839</v>
      </c>
      <c r="R4" s="6">
        <v>874384.41999999993</v>
      </c>
      <c r="S4" s="6">
        <v>1453.4899999999907</v>
      </c>
    </row>
    <row r="5" spans="3:19" x14ac:dyDescent="0.25">
      <c r="C5" s="1">
        <v>45838</v>
      </c>
      <c r="D5" s="2" t="s">
        <v>10</v>
      </c>
      <c r="E5">
        <v>70000</v>
      </c>
      <c r="F5">
        <v>1.27</v>
      </c>
      <c r="G5">
        <v>1.29</v>
      </c>
      <c r="H5">
        <v>1.2549999999999999</v>
      </c>
      <c r="I5">
        <v>1.26</v>
      </c>
      <c r="J5">
        <v>6163609</v>
      </c>
      <c r="K5">
        <v>88200</v>
      </c>
      <c r="L5">
        <f>+IF(C6&lt;&gt;C5,SUM(#REF!),0)</f>
        <v>0</v>
      </c>
      <c r="M5">
        <f>+IF(DailyData[[#This Row],[Column1]]&gt;0,DailyData[[#This Row],[Column1]]-#REF!,0)</f>
        <v>0</v>
      </c>
      <c r="N5" s="1">
        <f>+IF(DailyData[[#This Row],[Column2]]=0,0,DailyData[[#This Row],[Date]])</f>
        <v>0</v>
      </c>
      <c r="Q5" s="7">
        <v>45840</v>
      </c>
      <c r="R5" s="5">
        <v>886933.91999999993</v>
      </c>
      <c r="S5" s="5">
        <v>12549.5</v>
      </c>
    </row>
    <row r="6" spans="3:19" x14ac:dyDescent="0.25">
      <c r="C6" s="1">
        <v>45838</v>
      </c>
      <c r="D6" s="2" t="s">
        <v>11</v>
      </c>
      <c r="E6">
        <v>57458</v>
      </c>
      <c r="F6">
        <v>0.52</v>
      </c>
      <c r="G6">
        <v>0.52500000000000002</v>
      </c>
      <c r="H6">
        <v>0.5</v>
      </c>
      <c r="I6">
        <v>0.505</v>
      </c>
      <c r="J6">
        <v>396387</v>
      </c>
      <c r="K6">
        <v>29016.29</v>
      </c>
      <c r="L6">
        <f>+IF(C7&lt;&gt;C6,SUM(#REF!),0)</f>
        <v>0</v>
      </c>
      <c r="M6">
        <f>+IF(DailyData[[#This Row],[Column1]]&gt;0,DailyData[[#This Row],[Column1]]-#REF!,0)</f>
        <v>0</v>
      </c>
      <c r="N6" s="1">
        <f>+IF(DailyData[[#This Row],[Column2]]=0,0,DailyData[[#This Row],[Date]])</f>
        <v>0</v>
      </c>
      <c r="Q6" s="8">
        <v>45841</v>
      </c>
      <c r="R6" s="6">
        <v>923488.69999999984</v>
      </c>
      <c r="S6" s="6">
        <v>36554.779999999912</v>
      </c>
    </row>
    <row r="7" spans="3:19" x14ac:dyDescent="0.25">
      <c r="C7" s="1">
        <v>45838</v>
      </c>
      <c r="D7" s="2" t="s">
        <v>12</v>
      </c>
      <c r="E7">
        <v>16361</v>
      </c>
      <c r="F7">
        <v>37.18</v>
      </c>
      <c r="G7">
        <v>37.200000000000003</v>
      </c>
      <c r="H7">
        <v>36.54</v>
      </c>
      <c r="I7">
        <v>36.75</v>
      </c>
      <c r="J7">
        <v>12990646</v>
      </c>
      <c r="K7">
        <v>601266.75</v>
      </c>
      <c r="L7">
        <f>+IF(C8&lt;&gt;C7,SUM(#REF!),0)</f>
        <v>0</v>
      </c>
      <c r="M7">
        <f>+IF(DailyData[[#This Row],[Column1]]&gt;0,DailyData[[#This Row],[Column1]]-#REF!,0)</f>
        <v>0</v>
      </c>
      <c r="N7" s="1">
        <f>+IF(DailyData[[#This Row],[Column2]]=0,0,DailyData[[#This Row],[Date]])</f>
        <v>0</v>
      </c>
      <c r="Q7" s="7">
        <v>45842</v>
      </c>
      <c r="R7" s="5">
        <v>918849.41000000015</v>
      </c>
      <c r="S7" s="5">
        <v>-4639.289999999688</v>
      </c>
    </row>
    <row r="8" spans="3:19" x14ac:dyDescent="0.25">
      <c r="C8" s="1">
        <v>45838</v>
      </c>
      <c r="D8" s="2" t="s">
        <v>13</v>
      </c>
      <c r="E8">
        <v>44090</v>
      </c>
      <c r="F8">
        <v>1.0999999999999999E-2</v>
      </c>
      <c r="G8">
        <v>1.0999999999999999E-2</v>
      </c>
      <c r="H8">
        <v>0.01</v>
      </c>
      <c r="I8">
        <v>0.01</v>
      </c>
      <c r="J8">
        <v>1536611</v>
      </c>
      <c r="K8">
        <v>440.9</v>
      </c>
      <c r="L8">
        <f>+IF(C9&lt;&gt;C8,SUM(#REF!),0)</f>
        <v>0</v>
      </c>
      <c r="M8">
        <f>+IF(DailyData[[#This Row],[Column1]]&gt;0,DailyData[[#This Row],[Column1]]-#REF!,0)</f>
        <v>0</v>
      </c>
      <c r="N8" s="1">
        <f>+IF(DailyData[[#This Row],[Column2]]=0,0,DailyData[[#This Row],[Date]])</f>
        <v>0</v>
      </c>
      <c r="Q8" s="8">
        <v>45845</v>
      </c>
      <c r="R8" s="6">
        <v>912620.88</v>
      </c>
      <c r="S8" s="6">
        <v>-6228.5300000001444</v>
      </c>
    </row>
    <row r="9" spans="3:19" x14ac:dyDescent="0.25">
      <c r="C9" s="1">
        <v>45838</v>
      </c>
      <c r="D9" s="2" t="s">
        <v>14</v>
      </c>
      <c r="E9">
        <v>0</v>
      </c>
      <c r="F9">
        <v>185.36</v>
      </c>
      <c r="G9">
        <v>186.83</v>
      </c>
      <c r="H9">
        <v>183.41</v>
      </c>
      <c r="I9">
        <v>184.75</v>
      </c>
      <c r="J9">
        <v>2762322</v>
      </c>
      <c r="K9">
        <v>0</v>
      </c>
      <c r="L9">
        <f>+IF(C10&lt;&gt;C9,SUM(#REF!),0)</f>
        <v>0</v>
      </c>
      <c r="M9">
        <f>+IF(DailyData[[#This Row],[Column1]]&gt;0,DailyData[[#This Row],[Column1]]-#REF!,0)</f>
        <v>0</v>
      </c>
      <c r="N9" s="1">
        <f>+IF(DailyData[[#This Row],[Column2]]=0,0,DailyData[[#This Row],[Date]])</f>
        <v>0</v>
      </c>
      <c r="Q9" s="7">
        <v>45846</v>
      </c>
      <c r="R9" s="5">
        <v>912113.56</v>
      </c>
      <c r="S9" s="5">
        <v>-507.31999999994878</v>
      </c>
    </row>
    <row r="10" spans="3:19" x14ac:dyDescent="0.25">
      <c r="C10" s="1">
        <v>45838</v>
      </c>
      <c r="D10" s="2" t="s">
        <v>15</v>
      </c>
      <c r="E10">
        <v>10000</v>
      </c>
      <c r="F10">
        <v>0.4</v>
      </c>
      <c r="G10">
        <v>0.41499999999999998</v>
      </c>
      <c r="H10">
        <v>0.38</v>
      </c>
      <c r="I10">
        <v>0.38500000000000001</v>
      </c>
      <c r="J10">
        <v>582035</v>
      </c>
      <c r="K10">
        <v>3850</v>
      </c>
      <c r="L10">
        <f>+IF(C11&lt;&gt;C10,SUM(#REF!),0)</f>
        <v>0</v>
      </c>
      <c r="M10">
        <f>+IF(DailyData[[#This Row],[Column1]]&gt;0,DailyData[[#This Row],[Column1]]-#REF!,0)</f>
        <v>0</v>
      </c>
      <c r="N10" s="1">
        <f>+IF(DailyData[[#This Row],[Column2]]=0,0,DailyData[[#This Row],[Date]])</f>
        <v>0</v>
      </c>
      <c r="Q10" s="8">
        <v>45847</v>
      </c>
      <c r="R10" s="6">
        <v>906657.23999999987</v>
      </c>
      <c r="S10" s="6">
        <v>-5456.3200000001816</v>
      </c>
    </row>
    <row r="11" spans="3:19" x14ac:dyDescent="0.25">
      <c r="C11" s="1">
        <v>45838</v>
      </c>
      <c r="D11" s="2" t="s">
        <v>16</v>
      </c>
      <c r="E11">
        <v>20000</v>
      </c>
      <c r="F11">
        <v>0.215</v>
      </c>
      <c r="G11">
        <v>0.23</v>
      </c>
      <c r="H11">
        <v>0.215</v>
      </c>
      <c r="I11">
        <v>0.23</v>
      </c>
      <c r="J11">
        <v>233572</v>
      </c>
      <c r="K11">
        <v>4600</v>
      </c>
      <c r="L11">
        <f>+IF(C12&lt;&gt;C11,SUM(#REF!),0)</f>
        <v>0</v>
      </c>
      <c r="M11">
        <f>+IF(DailyData[[#This Row],[Column1]]&gt;0,DailyData[[#This Row],[Column1]]-#REF!,0)</f>
        <v>0</v>
      </c>
      <c r="N11" s="1">
        <f>+IF(DailyData[[#This Row],[Column2]]=0,0,DailyData[[#This Row],[Date]])</f>
        <v>0</v>
      </c>
      <c r="Q11" s="7">
        <v>45848</v>
      </c>
      <c r="R11" s="5">
        <v>907999.75000000012</v>
      </c>
      <c r="S11" s="5">
        <v>1342.5100000002421</v>
      </c>
    </row>
    <row r="12" spans="3:19" x14ac:dyDescent="0.25">
      <c r="C12" s="1">
        <v>45838</v>
      </c>
      <c r="D12" s="2" t="s">
        <v>17</v>
      </c>
      <c r="E12">
        <v>700000</v>
      </c>
      <c r="F12">
        <v>2E-3</v>
      </c>
      <c r="G12">
        <v>2E-3</v>
      </c>
      <c r="H12">
        <v>2E-3</v>
      </c>
      <c r="I12">
        <v>2E-3</v>
      </c>
      <c r="J12">
        <v>1048790</v>
      </c>
      <c r="K12">
        <v>1750</v>
      </c>
      <c r="L12">
        <f>+IF(C13&lt;&gt;C12,SUM(#REF!),0)</f>
        <v>0</v>
      </c>
      <c r="M12">
        <f>+IF(DailyData[[#This Row],[Column1]]&gt;0,DailyData[[#This Row],[Column1]]-#REF!,0)</f>
        <v>0</v>
      </c>
      <c r="N12" s="1">
        <f>+IF(DailyData[[#This Row],[Column2]]=0,0,DailyData[[#This Row],[Date]])</f>
        <v>0</v>
      </c>
      <c r="Q12" s="8">
        <v>45849</v>
      </c>
      <c r="R12" s="6">
        <v>926554.71</v>
      </c>
      <c r="S12" s="6">
        <v>18554.959999999846</v>
      </c>
    </row>
    <row r="13" spans="3:19" x14ac:dyDescent="0.25">
      <c r="C13" s="1">
        <v>45838</v>
      </c>
      <c r="D13" s="2" t="s">
        <v>18</v>
      </c>
      <c r="E13">
        <v>9412</v>
      </c>
      <c r="F13">
        <v>0.33</v>
      </c>
      <c r="G13">
        <v>0.34499999999999997</v>
      </c>
      <c r="H13">
        <v>0.32</v>
      </c>
      <c r="I13">
        <v>0.34499999999999997</v>
      </c>
      <c r="J13">
        <v>915694</v>
      </c>
      <c r="K13">
        <v>3247.14</v>
      </c>
      <c r="L13">
        <f t="shared" ref="L13:L15" si="0">+IF(C14&lt;&gt;C13,SUM(K1:K13),0)</f>
        <v>0</v>
      </c>
      <c r="M13">
        <f>+IF(DailyData[[#This Row],[Column1]]&gt;0,DailyData[[#This Row],[Column1]]-#REF!,0)</f>
        <v>0</v>
      </c>
      <c r="N13" s="1">
        <f>+IF(DailyData[[#This Row],[Column2]]=0,0,DailyData[[#This Row],[Date]])</f>
        <v>0</v>
      </c>
      <c r="Q13" s="7">
        <v>45852</v>
      </c>
      <c r="R13" s="5">
        <v>938906.32</v>
      </c>
      <c r="S13" s="5">
        <v>12351.609999999986</v>
      </c>
    </row>
    <row r="14" spans="3:19" x14ac:dyDescent="0.25">
      <c r="C14" s="1">
        <v>45838</v>
      </c>
      <c r="D14" s="2" t="s">
        <v>19</v>
      </c>
      <c r="E14">
        <v>6000</v>
      </c>
      <c r="F14">
        <v>0.1</v>
      </c>
      <c r="G14">
        <v>0.1</v>
      </c>
      <c r="H14">
        <v>0.1</v>
      </c>
      <c r="I14">
        <v>0.1</v>
      </c>
      <c r="J14">
        <v>0</v>
      </c>
      <c r="K14">
        <v>600</v>
      </c>
      <c r="L14">
        <f t="shared" si="0"/>
        <v>0</v>
      </c>
      <c r="M14">
        <f>+IF(DailyData[[#This Row],[Column1]]&gt;0,DailyData[[#This Row],[Column1]]-L1,0)</f>
        <v>0</v>
      </c>
      <c r="N14" s="1">
        <f>+IF(DailyData[[#This Row],[Column2]]=0,0,DailyData[[#This Row],[Date]])</f>
        <v>0</v>
      </c>
      <c r="Q14" s="8">
        <v>45853</v>
      </c>
      <c r="R14" s="6">
        <v>909076.79999999993</v>
      </c>
      <c r="S14" s="6">
        <v>-29829.520000000019</v>
      </c>
    </row>
    <row r="15" spans="3:19" x14ac:dyDescent="0.25">
      <c r="C15" s="1">
        <v>45838</v>
      </c>
      <c r="D15" s="2" t="s">
        <v>20</v>
      </c>
      <c r="E15">
        <v>0</v>
      </c>
      <c r="F15">
        <v>33.9</v>
      </c>
      <c r="G15">
        <v>34.159999999999997</v>
      </c>
      <c r="H15">
        <v>33.799999999999997</v>
      </c>
      <c r="I15">
        <v>33.86</v>
      </c>
      <c r="J15">
        <v>5011742</v>
      </c>
      <c r="K15">
        <v>0</v>
      </c>
      <c r="L15">
        <f t="shared" si="0"/>
        <v>0</v>
      </c>
      <c r="M15">
        <f>+IF(DailyData[[#This Row],[Column1]]&gt;0,DailyData[[#This Row],[Column1]]-L2,0)</f>
        <v>0</v>
      </c>
      <c r="N15" s="1">
        <f>+IF(DailyData[[#This Row],[Column2]]=0,0,DailyData[[#This Row],[Date]])</f>
        <v>0</v>
      </c>
      <c r="Q15" s="7">
        <v>45854</v>
      </c>
      <c r="R15" s="5">
        <v>935733.11999999988</v>
      </c>
      <c r="S15" s="5">
        <v>26656.319999999949</v>
      </c>
    </row>
    <row r="16" spans="3:19" x14ac:dyDescent="0.25">
      <c r="C16" s="1">
        <v>45838</v>
      </c>
      <c r="D16" s="2" t="s">
        <v>21</v>
      </c>
      <c r="E16">
        <v>1288</v>
      </c>
      <c r="F16">
        <v>23.62</v>
      </c>
      <c r="G16">
        <v>23.71</v>
      </c>
      <c r="H16">
        <v>23.24</v>
      </c>
      <c r="I16">
        <v>23.63</v>
      </c>
      <c r="J16">
        <v>5926027</v>
      </c>
      <c r="K16">
        <v>30435.439999999999</v>
      </c>
      <c r="L16">
        <f>+IF(C17&lt;&gt;C16,SUM(K4:K16),0)</f>
        <v>872930.92999999993</v>
      </c>
      <c r="M16" s="11">
        <v>0</v>
      </c>
      <c r="N16" s="1">
        <f>+IF(DailyData[[#This Row],[Column2]]=0,0,DailyData[[#This Row],[Date]])</f>
        <v>0</v>
      </c>
      <c r="Q16" s="8">
        <v>45855</v>
      </c>
      <c r="R16" s="6">
        <v>931237.86999999988</v>
      </c>
      <c r="S16" s="6">
        <v>-4495.25</v>
      </c>
    </row>
    <row r="17" spans="3:19" x14ac:dyDescent="0.25">
      <c r="C17" s="1">
        <v>45839</v>
      </c>
      <c r="D17" s="2" t="s">
        <v>9</v>
      </c>
      <c r="E17">
        <v>153181</v>
      </c>
      <c r="F17">
        <v>0.71499999999999997</v>
      </c>
      <c r="G17">
        <v>0.72499999999999998</v>
      </c>
      <c r="H17">
        <v>0.70499999999999996</v>
      </c>
      <c r="I17">
        <v>0.71499999999999997</v>
      </c>
      <c r="J17">
        <v>881773</v>
      </c>
      <c r="K17">
        <v>109524.41</v>
      </c>
      <c r="L17">
        <f t="shared" ref="L17:L80" si="1">+IF(C18&lt;&gt;C17,SUM(K5:K17),0)</f>
        <v>0</v>
      </c>
      <c r="M17">
        <f>+IF(DailyData[[#This Row],[Column1]]&gt;0,DailyData[[#This Row],[Column1]]-L4,0)</f>
        <v>0</v>
      </c>
      <c r="N17" s="1">
        <f>+IF(DailyData[[#This Row],[Column2]]=0,0,DailyData[[#This Row],[Date]])</f>
        <v>0</v>
      </c>
      <c r="Q17" s="7">
        <v>45856</v>
      </c>
      <c r="R17" s="5">
        <v>952855.23999999976</v>
      </c>
      <c r="S17" s="5">
        <v>21617.369999999879</v>
      </c>
    </row>
    <row r="18" spans="3:19" x14ac:dyDescent="0.25">
      <c r="C18" s="1">
        <v>45839</v>
      </c>
      <c r="D18" s="2" t="s">
        <v>10</v>
      </c>
      <c r="E18">
        <v>70000</v>
      </c>
      <c r="F18">
        <v>1.2549999999999999</v>
      </c>
      <c r="G18">
        <v>1.278</v>
      </c>
      <c r="H18">
        <v>1.2549999999999999</v>
      </c>
      <c r="I18">
        <v>1.27</v>
      </c>
      <c r="J18">
        <v>4793575</v>
      </c>
      <c r="K18">
        <v>88900</v>
      </c>
      <c r="L18">
        <f t="shared" si="1"/>
        <v>0</v>
      </c>
      <c r="M18">
        <f>+IF(DailyData[[#This Row],[Column1]]&gt;0,DailyData[[#This Row],[Column1]]-L5,0)</f>
        <v>0</v>
      </c>
      <c r="N18" s="1">
        <f>+IF(DailyData[[#This Row],[Column2]]=0,0,DailyData[[#This Row],[Date]])</f>
        <v>0</v>
      </c>
      <c r="Q18" s="8">
        <v>45859</v>
      </c>
      <c r="R18" s="6">
        <v>967285.42</v>
      </c>
      <c r="S18" s="6">
        <v>14430.180000000284</v>
      </c>
    </row>
    <row r="19" spans="3:19" x14ac:dyDescent="0.25">
      <c r="C19" s="1">
        <v>45839</v>
      </c>
      <c r="D19" s="2" t="s">
        <v>11</v>
      </c>
      <c r="E19">
        <v>57458</v>
      </c>
      <c r="F19">
        <v>0.52</v>
      </c>
      <c r="G19">
        <v>0.58499999999999996</v>
      </c>
      <c r="H19">
        <v>0.52</v>
      </c>
      <c r="I19">
        <v>0.56499999999999995</v>
      </c>
      <c r="J19">
        <v>398562</v>
      </c>
      <c r="K19">
        <v>32463.77</v>
      </c>
      <c r="L19">
        <f t="shared" si="1"/>
        <v>0</v>
      </c>
      <c r="M19">
        <f>+IF(DailyData[[#This Row],[Column1]]&gt;0,DailyData[[#This Row],[Column1]]-L6,0)</f>
        <v>0</v>
      </c>
      <c r="N19" s="1">
        <f>+IF(DailyData[[#This Row],[Column2]]=0,0,DailyData[[#This Row],[Date]])</f>
        <v>0</v>
      </c>
      <c r="Q19" s="7">
        <v>45860</v>
      </c>
      <c r="R19" s="5">
        <v>984217.95</v>
      </c>
      <c r="S19" s="5">
        <v>16932.529999999912</v>
      </c>
    </row>
    <row r="20" spans="3:19" x14ac:dyDescent="0.25">
      <c r="C20" s="1">
        <v>45839</v>
      </c>
      <c r="D20" s="2" t="s">
        <v>12</v>
      </c>
      <c r="E20">
        <v>16361</v>
      </c>
      <c r="F20">
        <v>36.64</v>
      </c>
      <c r="G20">
        <v>36.82</v>
      </c>
      <c r="H20">
        <v>36.36</v>
      </c>
      <c r="I20">
        <v>36.57</v>
      </c>
      <c r="J20">
        <v>7856950</v>
      </c>
      <c r="K20">
        <v>598321.77</v>
      </c>
      <c r="L20">
        <f t="shared" si="1"/>
        <v>0</v>
      </c>
      <c r="M20">
        <f>+IF(DailyData[[#This Row],[Column1]]&gt;0,DailyData[[#This Row],[Column1]]-L7,0)</f>
        <v>0</v>
      </c>
      <c r="N20" s="1">
        <f>+IF(DailyData[[#This Row],[Column2]]=0,0,DailyData[[#This Row],[Date]])</f>
        <v>0</v>
      </c>
      <c r="Q20" s="8">
        <v>45861</v>
      </c>
      <c r="R20" s="6">
        <v>996140.87</v>
      </c>
      <c r="S20" s="6">
        <v>11922.920000000042</v>
      </c>
    </row>
    <row r="21" spans="3:19" x14ac:dyDescent="0.25">
      <c r="C21" s="1">
        <v>45839</v>
      </c>
      <c r="D21" s="2" t="s">
        <v>13</v>
      </c>
      <c r="E21">
        <v>44090</v>
      </c>
      <c r="F21">
        <v>1.0999999999999999E-2</v>
      </c>
      <c r="G21">
        <v>1.2E-2</v>
      </c>
      <c r="H21">
        <v>0.01</v>
      </c>
      <c r="I21">
        <v>1.0999999999999999E-2</v>
      </c>
      <c r="J21">
        <v>1634164</v>
      </c>
      <c r="K21">
        <v>484.99</v>
      </c>
      <c r="L21">
        <f t="shared" si="1"/>
        <v>0</v>
      </c>
      <c r="M21">
        <f>+IF(DailyData[[#This Row],[Column1]]&gt;0,DailyData[[#This Row],[Column1]]-L8,0)</f>
        <v>0</v>
      </c>
      <c r="N21" s="1">
        <f>+IF(DailyData[[#This Row],[Column2]]=0,0,DailyData[[#This Row],[Date]])</f>
        <v>0</v>
      </c>
      <c r="Q21" s="7">
        <v>45862</v>
      </c>
      <c r="R21" s="5">
        <v>994489.77</v>
      </c>
      <c r="S21" s="5">
        <v>-1651.0999999999767</v>
      </c>
    </row>
    <row r="22" spans="3:19" x14ac:dyDescent="0.25">
      <c r="C22" s="1">
        <v>45839</v>
      </c>
      <c r="D22" s="2" t="s">
        <v>14</v>
      </c>
      <c r="E22">
        <v>0</v>
      </c>
      <c r="F22">
        <v>184.21</v>
      </c>
      <c r="G22">
        <v>184.31</v>
      </c>
      <c r="H22">
        <v>181.4</v>
      </c>
      <c r="I22">
        <v>182.58</v>
      </c>
      <c r="J22">
        <v>2968299</v>
      </c>
      <c r="K22">
        <v>0</v>
      </c>
      <c r="L22">
        <f t="shared" si="1"/>
        <v>0</v>
      </c>
      <c r="M22">
        <f>+IF(DailyData[[#This Row],[Column1]]&gt;0,DailyData[[#This Row],[Column1]]-L9,0)</f>
        <v>0</v>
      </c>
      <c r="N22" s="1">
        <f>+IF(DailyData[[#This Row],[Column2]]=0,0,DailyData[[#This Row],[Date]])</f>
        <v>0</v>
      </c>
      <c r="Q22" s="8">
        <v>45863</v>
      </c>
      <c r="R22" s="6">
        <v>978743.51</v>
      </c>
      <c r="S22" s="6">
        <v>-15746.260000000009</v>
      </c>
    </row>
    <row r="23" spans="3:19" x14ac:dyDescent="0.25">
      <c r="C23" s="1">
        <v>45839</v>
      </c>
      <c r="D23" s="2" t="s">
        <v>15</v>
      </c>
      <c r="E23">
        <v>10000</v>
      </c>
      <c r="F23">
        <v>0.41499999999999998</v>
      </c>
      <c r="G23">
        <v>0.41499999999999998</v>
      </c>
      <c r="H23">
        <v>0.38200000000000001</v>
      </c>
      <c r="I23">
        <v>0.41</v>
      </c>
      <c r="J23">
        <v>377402</v>
      </c>
      <c r="K23">
        <v>4100</v>
      </c>
      <c r="L23">
        <f t="shared" si="1"/>
        <v>0</v>
      </c>
      <c r="M23">
        <f>+IF(DailyData[[#This Row],[Column1]]&gt;0,DailyData[[#This Row],[Column1]]-L10,0)</f>
        <v>0</v>
      </c>
      <c r="N23" s="1">
        <f>+IF(DailyData[[#This Row],[Column2]]=0,0,DailyData[[#This Row],[Date]])</f>
        <v>0</v>
      </c>
      <c r="Q23" s="7">
        <v>45866</v>
      </c>
      <c r="R23" s="5">
        <v>964695.37000000011</v>
      </c>
      <c r="S23" s="5">
        <v>-14048.139999999898</v>
      </c>
    </row>
    <row r="24" spans="3:19" x14ac:dyDescent="0.25">
      <c r="C24" s="1">
        <v>45839</v>
      </c>
      <c r="D24" s="2" t="s">
        <v>16</v>
      </c>
      <c r="E24">
        <v>20000</v>
      </c>
      <c r="F24">
        <v>0.23</v>
      </c>
      <c r="G24">
        <v>0.23</v>
      </c>
      <c r="H24">
        <v>0.22</v>
      </c>
      <c r="I24">
        <v>0.23</v>
      </c>
      <c r="J24">
        <v>72263</v>
      </c>
      <c r="K24">
        <v>4600</v>
      </c>
      <c r="L24">
        <f t="shared" si="1"/>
        <v>0</v>
      </c>
      <c r="M24">
        <f>+IF(DailyData[[#This Row],[Column1]]&gt;0,DailyData[[#This Row],[Column1]]-L11,0)</f>
        <v>0</v>
      </c>
      <c r="N24" s="1">
        <f>+IF(DailyData[[#This Row],[Column2]]=0,0,DailyData[[#This Row],[Date]])</f>
        <v>0</v>
      </c>
      <c r="Q24" s="8">
        <v>45867</v>
      </c>
      <c r="R24" s="6">
        <v>966659.06</v>
      </c>
      <c r="S24" s="6">
        <v>1963.6899999999441</v>
      </c>
    </row>
    <row r="25" spans="3:19" x14ac:dyDescent="0.25">
      <c r="C25" s="1">
        <v>45839</v>
      </c>
      <c r="D25" s="2" t="s">
        <v>17</v>
      </c>
      <c r="E25">
        <v>700000</v>
      </c>
      <c r="F25">
        <v>2E-3</v>
      </c>
      <c r="G25">
        <v>2E-3</v>
      </c>
      <c r="H25">
        <v>2E-3</v>
      </c>
      <c r="I25">
        <v>2E-3</v>
      </c>
      <c r="J25">
        <v>112863</v>
      </c>
      <c r="K25">
        <v>1750</v>
      </c>
      <c r="L25">
        <f t="shared" si="1"/>
        <v>0</v>
      </c>
      <c r="M25">
        <f>+IF(DailyData[[#This Row],[Column1]]&gt;0,DailyData[[#This Row],[Column1]]-L12,0)</f>
        <v>0</v>
      </c>
      <c r="N25" s="1">
        <f>+IF(DailyData[[#This Row],[Column2]]=0,0,DailyData[[#This Row],[Date]])</f>
        <v>0</v>
      </c>
      <c r="Q25" s="7">
        <v>45868</v>
      </c>
      <c r="R25" s="5">
        <v>969198.13</v>
      </c>
      <c r="S25" s="5">
        <v>2539.0699999999488</v>
      </c>
    </row>
    <row r="26" spans="3:19" x14ac:dyDescent="0.25">
      <c r="C26" s="1">
        <v>45839</v>
      </c>
      <c r="D26" s="2" t="s">
        <v>18</v>
      </c>
      <c r="E26">
        <v>9412</v>
      </c>
      <c r="F26">
        <v>0.34</v>
      </c>
      <c r="G26">
        <v>0.36</v>
      </c>
      <c r="H26">
        <v>0.34</v>
      </c>
      <c r="I26">
        <v>0.35</v>
      </c>
      <c r="J26">
        <v>392497</v>
      </c>
      <c r="K26">
        <v>3294.2</v>
      </c>
      <c r="L26">
        <f t="shared" si="1"/>
        <v>0</v>
      </c>
      <c r="M26">
        <f>+IF(DailyData[[#This Row],[Column1]]&gt;0,DailyData[[#This Row],[Column1]]-L13,0)</f>
        <v>0</v>
      </c>
      <c r="N26" s="1">
        <f>+IF(DailyData[[#This Row],[Column2]]=0,0,DailyData[[#This Row],[Date]])</f>
        <v>0</v>
      </c>
      <c r="Q26" s="8">
        <v>45869</v>
      </c>
      <c r="R26" s="6">
        <v>944629.98</v>
      </c>
      <c r="S26" s="6">
        <v>-24568.150000000023</v>
      </c>
    </row>
    <row r="27" spans="3:19" x14ac:dyDescent="0.25">
      <c r="C27" s="1">
        <v>45839</v>
      </c>
      <c r="D27" s="2" t="s">
        <v>19</v>
      </c>
      <c r="E27">
        <v>6000</v>
      </c>
      <c r="F27">
        <v>0.1</v>
      </c>
      <c r="G27">
        <v>0.1</v>
      </c>
      <c r="H27">
        <v>0.1</v>
      </c>
      <c r="I27">
        <v>0.1</v>
      </c>
      <c r="J27">
        <v>0</v>
      </c>
      <c r="K27">
        <v>600</v>
      </c>
      <c r="L27">
        <f t="shared" si="1"/>
        <v>0</v>
      </c>
      <c r="M27">
        <f>+IF(DailyData[[#This Row],[Column1]]&gt;0,DailyData[[#This Row],[Column1]]-L14,0)</f>
        <v>0</v>
      </c>
      <c r="N27" s="1">
        <f>+IF(DailyData[[#This Row],[Column2]]=0,0,DailyData[[#This Row],[Date]])</f>
        <v>0</v>
      </c>
      <c r="Q27" s="7">
        <v>45870</v>
      </c>
      <c r="R27" s="5">
        <v>943451.12</v>
      </c>
      <c r="S27" s="5">
        <v>-1178.859999999986</v>
      </c>
    </row>
    <row r="28" spans="3:19" x14ac:dyDescent="0.25">
      <c r="C28" s="1">
        <v>45839</v>
      </c>
      <c r="D28" s="2" t="s">
        <v>20</v>
      </c>
      <c r="E28">
        <v>0</v>
      </c>
      <c r="F28">
        <v>33.869999999999997</v>
      </c>
      <c r="G28">
        <v>34.034999999999997</v>
      </c>
      <c r="H28">
        <v>33.57</v>
      </c>
      <c r="I28">
        <v>33.869999999999997</v>
      </c>
      <c r="J28">
        <v>4490183</v>
      </c>
      <c r="K28">
        <v>0</v>
      </c>
      <c r="L28">
        <f t="shared" si="1"/>
        <v>0</v>
      </c>
      <c r="M28">
        <f>+IF(DailyData[[#This Row],[Column1]]&gt;0,DailyData[[#This Row],[Column1]]-L15,0)</f>
        <v>0</v>
      </c>
      <c r="N28" s="1">
        <f>+IF(DailyData[[#This Row],[Column2]]=0,0,DailyData[[#This Row],[Date]])</f>
        <v>0</v>
      </c>
      <c r="Q28" s="8">
        <v>45873</v>
      </c>
      <c r="R28" s="6">
        <v>947677.46999999986</v>
      </c>
      <c r="S28" s="6">
        <v>4226.3499999998603</v>
      </c>
    </row>
    <row r="29" spans="3:19" x14ac:dyDescent="0.25">
      <c r="C29" s="1">
        <v>45839</v>
      </c>
      <c r="D29" s="2" t="s">
        <v>21</v>
      </c>
      <c r="E29">
        <v>1288</v>
      </c>
      <c r="F29">
        <v>23.7</v>
      </c>
      <c r="G29">
        <v>23.77</v>
      </c>
      <c r="H29">
        <v>23.48</v>
      </c>
      <c r="I29">
        <v>23.56</v>
      </c>
      <c r="J29">
        <v>3309245</v>
      </c>
      <c r="K29">
        <v>30345.279999999999</v>
      </c>
      <c r="L29">
        <f t="shared" si="1"/>
        <v>874384.41999999993</v>
      </c>
      <c r="M29">
        <f>+IF(DailyData[[#This Row],[Column1]]&gt;0,DailyData[[#This Row],[Column1]]-L16,0)</f>
        <v>1453.4899999999907</v>
      </c>
      <c r="N29" s="1">
        <f>+IF(DailyData[[#This Row],[Column2]]=0,0,DailyData[[#This Row],[Date]])</f>
        <v>45839</v>
      </c>
      <c r="Q29" s="7">
        <v>45874</v>
      </c>
      <c r="R29" s="5">
        <v>959867.17</v>
      </c>
      <c r="S29" s="5">
        <v>12189.700000000186</v>
      </c>
    </row>
    <row r="30" spans="3:19" x14ac:dyDescent="0.25">
      <c r="C30" s="1">
        <v>45840</v>
      </c>
      <c r="D30" s="2" t="s">
        <v>9</v>
      </c>
      <c r="E30">
        <v>153181</v>
      </c>
      <c r="F30">
        <v>0.71</v>
      </c>
      <c r="G30">
        <v>0.72499999999999998</v>
      </c>
      <c r="H30">
        <v>0.7</v>
      </c>
      <c r="I30">
        <v>0.70499999999999996</v>
      </c>
      <c r="J30">
        <v>603902</v>
      </c>
      <c r="K30">
        <v>107992.6</v>
      </c>
      <c r="L30">
        <f t="shared" si="1"/>
        <v>0</v>
      </c>
      <c r="M30">
        <f>+IF(DailyData[[#This Row],[Column1]]&gt;0,DailyData[[#This Row],[Column1]]-L17,0)</f>
        <v>0</v>
      </c>
      <c r="N30" s="1">
        <f>+IF(DailyData[[#This Row],[Column2]]=0,0,DailyData[[#This Row],[Date]])</f>
        <v>0</v>
      </c>
      <c r="Q30" s="8">
        <v>45875</v>
      </c>
      <c r="R30" s="6">
        <v>970946.56000000006</v>
      </c>
      <c r="S30" s="6">
        <v>11079.390000000014</v>
      </c>
    </row>
    <row r="31" spans="3:19" x14ac:dyDescent="0.25">
      <c r="C31" s="1">
        <v>45840</v>
      </c>
      <c r="D31" s="2" t="s">
        <v>10</v>
      </c>
      <c r="E31">
        <v>70000</v>
      </c>
      <c r="F31">
        <v>1.2749999999999999</v>
      </c>
      <c r="G31">
        <v>1.34</v>
      </c>
      <c r="H31">
        <v>1.2649999999999999</v>
      </c>
      <c r="I31">
        <v>1.34</v>
      </c>
      <c r="J31">
        <v>9395636</v>
      </c>
      <c r="K31">
        <v>93800</v>
      </c>
      <c r="L31">
        <f t="shared" si="1"/>
        <v>0</v>
      </c>
      <c r="M31">
        <f>+IF(DailyData[[#This Row],[Column1]]&gt;0,DailyData[[#This Row],[Column1]]-L18,0)</f>
        <v>0</v>
      </c>
      <c r="N31" s="1">
        <f>+IF(DailyData[[#This Row],[Column2]]=0,0,DailyData[[#This Row],[Date]])</f>
        <v>0</v>
      </c>
      <c r="Q31" s="7">
        <v>45876</v>
      </c>
      <c r="R31" s="5">
        <v>985105.68</v>
      </c>
      <c r="S31" s="5">
        <v>14159.119999999995</v>
      </c>
    </row>
    <row r="32" spans="3:19" x14ac:dyDescent="0.25">
      <c r="C32" s="1">
        <v>45840</v>
      </c>
      <c r="D32" s="2" t="s">
        <v>11</v>
      </c>
      <c r="E32">
        <v>57458</v>
      </c>
      <c r="F32">
        <v>0.57499999999999996</v>
      </c>
      <c r="G32">
        <v>0.59</v>
      </c>
      <c r="H32">
        <v>0.54</v>
      </c>
      <c r="I32">
        <v>0.54500000000000004</v>
      </c>
      <c r="J32">
        <v>226944</v>
      </c>
      <c r="K32">
        <v>31314.61</v>
      </c>
      <c r="L32">
        <f t="shared" si="1"/>
        <v>0</v>
      </c>
      <c r="M32">
        <f>+IF(DailyData[[#This Row],[Column1]]&gt;0,DailyData[[#This Row],[Column1]]-L19,0)</f>
        <v>0</v>
      </c>
      <c r="N32" s="1">
        <f>+IF(DailyData[[#This Row],[Column2]]=0,0,DailyData[[#This Row],[Date]])</f>
        <v>0</v>
      </c>
      <c r="Q32" s="8">
        <v>45877</v>
      </c>
      <c r="R32" s="6">
        <v>1002268.1500000001</v>
      </c>
      <c r="S32" s="6">
        <v>17162.470000000088</v>
      </c>
    </row>
    <row r="33" spans="3:19" x14ac:dyDescent="0.25">
      <c r="C33" s="1">
        <v>45840</v>
      </c>
      <c r="D33" s="2" t="s">
        <v>12</v>
      </c>
      <c r="E33">
        <v>16361</v>
      </c>
      <c r="F33">
        <v>37</v>
      </c>
      <c r="G33">
        <v>37.35</v>
      </c>
      <c r="H33">
        <v>36.76</v>
      </c>
      <c r="I33">
        <v>37.200000000000003</v>
      </c>
      <c r="J33">
        <v>9145015</v>
      </c>
      <c r="K33">
        <v>608629.21</v>
      </c>
      <c r="L33">
        <f t="shared" si="1"/>
        <v>0</v>
      </c>
      <c r="M33">
        <f>+IF(DailyData[[#This Row],[Column1]]&gt;0,DailyData[[#This Row],[Column1]]-L20,0)</f>
        <v>0</v>
      </c>
      <c r="N33" s="1">
        <f>+IF(DailyData[[#This Row],[Column2]]=0,0,DailyData[[#This Row],[Date]])</f>
        <v>0</v>
      </c>
      <c r="Q33" s="7">
        <v>45880</v>
      </c>
      <c r="R33" s="5">
        <v>1011088.6100000001</v>
      </c>
      <c r="S33" s="5">
        <v>8820.4599999999627</v>
      </c>
    </row>
    <row r="34" spans="3:19" x14ac:dyDescent="0.25">
      <c r="C34" s="1">
        <v>45840</v>
      </c>
      <c r="D34" s="2" t="s">
        <v>13</v>
      </c>
      <c r="E34">
        <v>44090</v>
      </c>
      <c r="F34">
        <v>1.2E-2</v>
      </c>
      <c r="G34">
        <v>1.4E-2</v>
      </c>
      <c r="H34">
        <v>1.0999999999999999E-2</v>
      </c>
      <c r="I34">
        <v>1.4E-2</v>
      </c>
      <c r="J34">
        <v>3119052</v>
      </c>
      <c r="K34">
        <v>617.26</v>
      </c>
      <c r="L34">
        <f t="shared" si="1"/>
        <v>0</v>
      </c>
      <c r="M34">
        <f>+IF(DailyData[[#This Row],[Column1]]&gt;0,DailyData[[#This Row],[Column1]]-L21,0)</f>
        <v>0</v>
      </c>
      <c r="N34" s="1">
        <f>+IF(DailyData[[#This Row],[Column2]]=0,0,DailyData[[#This Row],[Date]])</f>
        <v>0</v>
      </c>
      <c r="Q34" s="8">
        <v>45881</v>
      </c>
      <c r="R34" s="6">
        <v>1001954.3999999999</v>
      </c>
      <c r="S34" s="6">
        <v>-9134.2100000001956</v>
      </c>
    </row>
    <row r="35" spans="3:19" x14ac:dyDescent="0.25">
      <c r="C35" s="1">
        <v>45840</v>
      </c>
      <c r="D35" s="2" t="s">
        <v>14</v>
      </c>
      <c r="E35">
        <v>0</v>
      </c>
      <c r="F35">
        <v>183</v>
      </c>
      <c r="G35">
        <v>183.85</v>
      </c>
      <c r="H35">
        <v>180.51</v>
      </c>
      <c r="I35">
        <v>183.67</v>
      </c>
      <c r="J35">
        <v>3202955</v>
      </c>
      <c r="K35">
        <v>0</v>
      </c>
      <c r="L35">
        <f t="shared" si="1"/>
        <v>0</v>
      </c>
      <c r="M35">
        <f>+IF(DailyData[[#This Row],[Column1]]&gt;0,DailyData[[#This Row],[Column1]]-L22,0)</f>
        <v>0</v>
      </c>
      <c r="N35" s="1">
        <f>+IF(DailyData[[#This Row],[Column2]]=0,0,DailyData[[#This Row],[Date]])</f>
        <v>0</v>
      </c>
      <c r="Q35" s="7">
        <v>45882</v>
      </c>
      <c r="R35" s="5">
        <v>1013226.5900000001</v>
      </c>
      <c r="S35" s="5">
        <v>11272.190000000177</v>
      </c>
    </row>
    <row r="36" spans="3:19" x14ac:dyDescent="0.25">
      <c r="C36" s="1">
        <v>45840</v>
      </c>
      <c r="D36" s="2" t="s">
        <v>15</v>
      </c>
      <c r="E36">
        <v>10000</v>
      </c>
      <c r="F36">
        <v>0.40500000000000003</v>
      </c>
      <c r="G36">
        <v>0.41499999999999998</v>
      </c>
      <c r="H36">
        <v>0.4</v>
      </c>
      <c r="I36">
        <v>0.41499999999999998</v>
      </c>
      <c r="J36">
        <v>307503</v>
      </c>
      <c r="K36">
        <v>4150</v>
      </c>
      <c r="L36">
        <f t="shared" si="1"/>
        <v>0</v>
      </c>
      <c r="M36">
        <f>+IF(DailyData[[#This Row],[Column1]]&gt;0,DailyData[[#This Row],[Column1]]-L23,0)</f>
        <v>0</v>
      </c>
      <c r="N36" s="1">
        <f>+IF(DailyData[[#This Row],[Column2]]=0,0,DailyData[[#This Row],[Date]])</f>
        <v>0</v>
      </c>
      <c r="Q36" s="8">
        <v>45883</v>
      </c>
      <c r="R36" s="6">
        <v>1013478.5599999999</v>
      </c>
      <c r="S36" s="6">
        <v>251.96999999985565</v>
      </c>
    </row>
    <row r="37" spans="3:19" x14ac:dyDescent="0.25">
      <c r="C37" s="1">
        <v>45840</v>
      </c>
      <c r="D37" s="2" t="s">
        <v>16</v>
      </c>
      <c r="E37">
        <v>20000</v>
      </c>
      <c r="F37">
        <v>0.22500000000000001</v>
      </c>
      <c r="G37">
        <v>0.22500000000000001</v>
      </c>
      <c r="H37">
        <v>0.21</v>
      </c>
      <c r="I37">
        <v>0.21</v>
      </c>
      <c r="J37">
        <v>253424</v>
      </c>
      <c r="K37">
        <v>4200</v>
      </c>
      <c r="L37">
        <f t="shared" si="1"/>
        <v>0</v>
      </c>
      <c r="M37">
        <f>+IF(DailyData[[#This Row],[Column1]]&gt;0,DailyData[[#This Row],[Column1]]-L24,0)</f>
        <v>0</v>
      </c>
      <c r="N37" s="1">
        <f>+IF(DailyData[[#This Row],[Column2]]=0,0,DailyData[[#This Row],[Date]])</f>
        <v>0</v>
      </c>
      <c r="Q37" s="7">
        <v>45884</v>
      </c>
      <c r="R37" s="5">
        <v>1032004.92</v>
      </c>
      <c r="S37" s="5">
        <v>18526.360000000102</v>
      </c>
    </row>
    <row r="38" spans="3:19" x14ac:dyDescent="0.25">
      <c r="C38" s="1">
        <v>45840</v>
      </c>
      <c r="D38" s="2" t="s">
        <v>17</v>
      </c>
      <c r="E38">
        <v>700000</v>
      </c>
      <c r="F38">
        <v>2E-3</v>
      </c>
      <c r="G38">
        <v>2E-3</v>
      </c>
      <c r="H38">
        <v>2E-3</v>
      </c>
      <c r="I38">
        <v>2E-3</v>
      </c>
      <c r="J38">
        <v>85274</v>
      </c>
      <c r="K38">
        <v>1750</v>
      </c>
      <c r="L38">
        <f t="shared" si="1"/>
        <v>0</v>
      </c>
      <c r="M38">
        <f>+IF(DailyData[[#This Row],[Column1]]&gt;0,DailyData[[#This Row],[Column1]]-L25,0)</f>
        <v>0</v>
      </c>
      <c r="N38" s="1">
        <f>+IF(DailyData[[#This Row],[Column2]]=0,0,DailyData[[#This Row],[Date]])</f>
        <v>0</v>
      </c>
      <c r="Q38" s="8">
        <v>45887</v>
      </c>
      <c r="R38" s="6">
        <v>1031355.21</v>
      </c>
      <c r="S38" s="6">
        <v>-649.71000000007916</v>
      </c>
    </row>
    <row r="39" spans="3:19" x14ac:dyDescent="0.25">
      <c r="C39" s="1">
        <v>45840</v>
      </c>
      <c r="D39" s="2" t="s">
        <v>18</v>
      </c>
      <c r="E39">
        <v>9412</v>
      </c>
      <c r="F39">
        <v>0.36</v>
      </c>
      <c r="G39">
        <v>0.37</v>
      </c>
      <c r="H39">
        <v>0.33300000000000002</v>
      </c>
      <c r="I39">
        <v>0.34</v>
      </c>
      <c r="J39">
        <v>545409</v>
      </c>
      <c r="K39">
        <v>3200.08</v>
      </c>
      <c r="L39">
        <f t="shared" si="1"/>
        <v>0</v>
      </c>
      <c r="M39">
        <f>+IF(DailyData[[#This Row],[Column1]]&gt;0,DailyData[[#This Row],[Column1]]-L26,0)</f>
        <v>0</v>
      </c>
      <c r="N39" s="1">
        <f>+IF(DailyData[[#This Row],[Column2]]=0,0,DailyData[[#This Row],[Date]])</f>
        <v>0</v>
      </c>
      <c r="Q39" s="7">
        <v>45888</v>
      </c>
      <c r="R39" s="5">
        <v>1038300.58</v>
      </c>
      <c r="S39" s="5">
        <v>6945.3699999999953</v>
      </c>
    </row>
    <row r="40" spans="3:19" x14ac:dyDescent="0.25">
      <c r="C40" s="1">
        <v>45840</v>
      </c>
      <c r="D40" s="2" t="s">
        <v>19</v>
      </c>
      <c r="E40">
        <v>6000</v>
      </c>
      <c r="F40">
        <v>0.1</v>
      </c>
      <c r="G40">
        <v>0.1</v>
      </c>
      <c r="H40">
        <v>0.1</v>
      </c>
      <c r="I40">
        <v>0.1</v>
      </c>
      <c r="J40">
        <v>0</v>
      </c>
      <c r="K40">
        <v>600</v>
      </c>
      <c r="L40">
        <f t="shared" si="1"/>
        <v>0</v>
      </c>
      <c r="M40">
        <f>+IF(DailyData[[#This Row],[Column1]]&gt;0,DailyData[[#This Row],[Column1]]-L27,0)</f>
        <v>0</v>
      </c>
      <c r="N40" s="1">
        <f>+IF(DailyData[[#This Row],[Column2]]=0,0,DailyData[[#This Row],[Date]])</f>
        <v>0</v>
      </c>
      <c r="Q40" s="8">
        <v>45889</v>
      </c>
      <c r="R40" s="6">
        <v>1027600.2399999999</v>
      </c>
      <c r="S40" s="6">
        <v>-10700.340000000084</v>
      </c>
    </row>
    <row r="41" spans="3:19" x14ac:dyDescent="0.25">
      <c r="C41" s="1">
        <v>45840</v>
      </c>
      <c r="D41" s="2" t="s">
        <v>20</v>
      </c>
      <c r="E41">
        <v>0</v>
      </c>
      <c r="F41">
        <v>33.94</v>
      </c>
      <c r="G41">
        <v>34</v>
      </c>
      <c r="H41">
        <v>33.384999999999998</v>
      </c>
      <c r="I41">
        <v>33.72</v>
      </c>
      <c r="J41">
        <v>5822400</v>
      </c>
      <c r="K41">
        <v>0</v>
      </c>
      <c r="L41">
        <f t="shared" si="1"/>
        <v>0</v>
      </c>
      <c r="M41">
        <f>+IF(DailyData[[#This Row],[Column1]]&gt;0,DailyData[[#This Row],[Column1]]-L28,0)</f>
        <v>0</v>
      </c>
      <c r="N41" s="1">
        <f>+IF(DailyData[[#This Row],[Column2]]=0,0,DailyData[[#This Row],[Date]])</f>
        <v>0</v>
      </c>
      <c r="Q41" s="7">
        <v>45890</v>
      </c>
      <c r="R41" s="5">
        <v>1034882.5299999999</v>
      </c>
      <c r="S41" s="5">
        <v>7282.2900000000373</v>
      </c>
    </row>
    <row r="42" spans="3:19" x14ac:dyDescent="0.25">
      <c r="C42" s="1">
        <v>45840</v>
      </c>
      <c r="D42" s="2" t="s">
        <v>21</v>
      </c>
      <c r="E42">
        <v>1288</v>
      </c>
      <c r="F42">
        <v>23.56</v>
      </c>
      <c r="G42">
        <v>23.89</v>
      </c>
      <c r="H42">
        <v>23.47</v>
      </c>
      <c r="I42">
        <v>23.82</v>
      </c>
      <c r="J42">
        <v>4048946</v>
      </c>
      <c r="K42">
        <v>30680.16</v>
      </c>
      <c r="L42">
        <f t="shared" si="1"/>
        <v>886933.91999999993</v>
      </c>
      <c r="M42">
        <f>+IF(DailyData[[#This Row],[Column1]]&gt;0,DailyData[[#This Row],[Column1]]-L29,0)</f>
        <v>12549.5</v>
      </c>
      <c r="N42" s="1">
        <f>+IF(DailyData[[#This Row],[Column2]]=0,0,DailyData[[#This Row],[Date]])</f>
        <v>45840</v>
      </c>
      <c r="Q42" s="8">
        <v>45891</v>
      </c>
      <c r="R42" s="6">
        <v>1031066.46</v>
      </c>
      <c r="S42" s="6">
        <v>-3816.0699999999488</v>
      </c>
    </row>
    <row r="43" spans="3:19" x14ac:dyDescent="0.25">
      <c r="C43" s="1">
        <v>45841</v>
      </c>
      <c r="D43" s="2" t="s">
        <v>9</v>
      </c>
      <c r="E43">
        <v>153181</v>
      </c>
      <c r="F43">
        <v>0.7</v>
      </c>
      <c r="G43">
        <v>0.70499999999999996</v>
      </c>
      <c r="H43">
        <v>0.67500000000000004</v>
      </c>
      <c r="I43">
        <v>0.69499999999999995</v>
      </c>
      <c r="J43">
        <v>2330711</v>
      </c>
      <c r="K43">
        <v>106460.79</v>
      </c>
      <c r="L43">
        <f t="shared" si="1"/>
        <v>0</v>
      </c>
      <c r="M43">
        <f>+IF(DailyData[[#This Row],[Column1]]&gt;0,DailyData[[#This Row],[Column1]]-L30,0)</f>
        <v>0</v>
      </c>
      <c r="N43" s="1">
        <f>+IF(DailyData[[#This Row],[Column2]]=0,0,DailyData[[#This Row],[Date]])</f>
        <v>0</v>
      </c>
      <c r="Q43" s="7">
        <v>45894</v>
      </c>
      <c r="R43" s="5">
        <v>1063360.53</v>
      </c>
      <c r="S43" s="5">
        <v>32294.070000000065</v>
      </c>
    </row>
    <row r="44" spans="3:19" x14ac:dyDescent="0.25">
      <c r="C44" s="1">
        <v>45841</v>
      </c>
      <c r="D44" s="2" t="s">
        <v>10</v>
      </c>
      <c r="E44">
        <v>70000</v>
      </c>
      <c r="F44">
        <v>1.31</v>
      </c>
      <c r="G44">
        <v>1.36</v>
      </c>
      <c r="H44">
        <v>1.3029999999999999</v>
      </c>
      <c r="I44">
        <v>1.355</v>
      </c>
      <c r="J44">
        <v>8149417</v>
      </c>
      <c r="K44">
        <v>94850</v>
      </c>
      <c r="L44">
        <f t="shared" si="1"/>
        <v>0</v>
      </c>
      <c r="M44">
        <f>+IF(DailyData[[#This Row],[Column1]]&gt;0,DailyData[[#This Row],[Column1]]-L31,0)</f>
        <v>0</v>
      </c>
      <c r="N44" s="1">
        <f>+IF(DailyData[[#This Row],[Column2]]=0,0,DailyData[[#This Row],[Date]])</f>
        <v>0</v>
      </c>
      <c r="Q44" s="8">
        <v>45895</v>
      </c>
      <c r="R44" s="6">
        <v>1049612.95</v>
      </c>
      <c r="S44" s="6">
        <v>-13747.580000000075</v>
      </c>
    </row>
    <row r="45" spans="3:19" x14ac:dyDescent="0.25">
      <c r="C45" s="1">
        <v>45841</v>
      </c>
      <c r="D45" s="2" t="s">
        <v>11</v>
      </c>
      <c r="E45">
        <v>57458</v>
      </c>
      <c r="F45">
        <v>0.54500000000000004</v>
      </c>
      <c r="G45">
        <v>0.59499999999999997</v>
      </c>
      <c r="H45">
        <v>0.54500000000000004</v>
      </c>
      <c r="I45">
        <v>0.57999999999999996</v>
      </c>
      <c r="J45">
        <v>100958</v>
      </c>
      <c r="K45">
        <v>33325.64</v>
      </c>
      <c r="L45">
        <f t="shared" si="1"/>
        <v>0</v>
      </c>
      <c r="M45">
        <f>+IF(DailyData[[#This Row],[Column1]]&gt;0,DailyData[[#This Row],[Column1]]-L32,0)</f>
        <v>0</v>
      </c>
      <c r="N45" s="1">
        <f>+IF(DailyData[[#This Row],[Column2]]=0,0,DailyData[[#This Row],[Date]])</f>
        <v>0</v>
      </c>
      <c r="Q45" s="7">
        <v>45896</v>
      </c>
      <c r="R45" s="5">
        <v>1071280.3899999999</v>
      </c>
      <c r="S45" s="5">
        <v>21667.439999999944</v>
      </c>
    </row>
    <row r="46" spans="3:19" x14ac:dyDescent="0.25">
      <c r="C46" s="1">
        <v>45841</v>
      </c>
      <c r="D46" s="2" t="s">
        <v>12</v>
      </c>
      <c r="E46">
        <v>16361</v>
      </c>
      <c r="F46">
        <v>38.4</v>
      </c>
      <c r="G46">
        <v>39.270000000000003</v>
      </c>
      <c r="H46">
        <v>38.369999999999997</v>
      </c>
      <c r="I46">
        <v>39.270000000000003</v>
      </c>
      <c r="J46">
        <v>16531066</v>
      </c>
      <c r="K46">
        <v>642496.48</v>
      </c>
      <c r="L46">
        <f t="shared" si="1"/>
        <v>0</v>
      </c>
      <c r="M46">
        <f>+IF(DailyData[[#This Row],[Column1]]&gt;0,DailyData[[#This Row],[Column1]]-L33,0)</f>
        <v>0</v>
      </c>
      <c r="N46" s="1">
        <f>+IF(DailyData[[#This Row],[Column2]]=0,0,DailyData[[#This Row],[Date]])</f>
        <v>0</v>
      </c>
      <c r="Q46" s="8">
        <v>45897</v>
      </c>
      <c r="R46" s="6">
        <v>1067157.8899999999</v>
      </c>
      <c r="S46" s="6">
        <v>-4122.5</v>
      </c>
    </row>
    <row r="47" spans="3:19" x14ac:dyDescent="0.25">
      <c r="C47" s="1">
        <v>45841</v>
      </c>
      <c r="D47" s="2" t="s">
        <v>13</v>
      </c>
      <c r="E47">
        <v>44090</v>
      </c>
      <c r="F47">
        <v>1.4E-2</v>
      </c>
      <c r="G47">
        <v>1.4999999999999999E-2</v>
      </c>
      <c r="H47">
        <v>1.2999999999999999E-2</v>
      </c>
      <c r="I47">
        <v>1.4999999999999999E-2</v>
      </c>
      <c r="J47">
        <v>1848945</v>
      </c>
      <c r="K47">
        <v>661.35</v>
      </c>
      <c r="L47">
        <f t="shared" si="1"/>
        <v>0</v>
      </c>
      <c r="M47">
        <f>+IF(DailyData[[#This Row],[Column1]]&gt;0,DailyData[[#This Row],[Column1]]-L34,0)</f>
        <v>0</v>
      </c>
      <c r="N47" s="1">
        <f>+IF(DailyData[[#This Row],[Column2]]=0,0,DailyData[[#This Row],[Date]])</f>
        <v>0</v>
      </c>
      <c r="Q47" s="7">
        <v>45898</v>
      </c>
      <c r="R47" s="5">
        <v>1070867.01</v>
      </c>
      <c r="S47" s="5">
        <v>3709.1200000001118</v>
      </c>
    </row>
    <row r="48" spans="3:19" x14ac:dyDescent="0.25">
      <c r="C48" s="1">
        <v>45841</v>
      </c>
      <c r="D48" s="2" t="s">
        <v>14</v>
      </c>
      <c r="E48">
        <v>0</v>
      </c>
      <c r="F48">
        <v>182.41</v>
      </c>
      <c r="G48">
        <v>182.41</v>
      </c>
      <c r="H48">
        <v>179.58</v>
      </c>
      <c r="I48">
        <v>179.69</v>
      </c>
      <c r="J48">
        <v>1989031</v>
      </c>
      <c r="K48">
        <v>0</v>
      </c>
      <c r="L48">
        <f t="shared" si="1"/>
        <v>0</v>
      </c>
      <c r="M48">
        <f>+IF(DailyData[[#This Row],[Column1]]&gt;0,DailyData[[#This Row],[Column1]]-L35,0)</f>
        <v>0</v>
      </c>
      <c r="N48" s="1">
        <f>+IF(DailyData[[#This Row],[Column2]]=0,0,DailyData[[#This Row],[Date]])</f>
        <v>0</v>
      </c>
      <c r="Q48" s="8">
        <v>45901</v>
      </c>
      <c r="R48" s="6">
        <v>1072169.99</v>
      </c>
      <c r="S48" s="6">
        <v>1302.9799999999814</v>
      </c>
    </row>
    <row r="49" spans="3:19" x14ac:dyDescent="0.25">
      <c r="C49" s="1">
        <v>45841</v>
      </c>
      <c r="D49" s="2" t="s">
        <v>15</v>
      </c>
      <c r="E49">
        <v>10000</v>
      </c>
      <c r="F49">
        <v>0.42</v>
      </c>
      <c r="G49">
        <v>0.45</v>
      </c>
      <c r="H49">
        <v>0.40500000000000003</v>
      </c>
      <c r="I49">
        <v>0.44500000000000001</v>
      </c>
      <c r="J49">
        <v>621377</v>
      </c>
      <c r="K49">
        <v>4450</v>
      </c>
      <c r="L49">
        <f t="shared" si="1"/>
        <v>0</v>
      </c>
      <c r="M49">
        <f>+IF(DailyData[[#This Row],[Column1]]&gt;0,DailyData[[#This Row],[Column1]]-L36,0)</f>
        <v>0</v>
      </c>
      <c r="N49" s="1">
        <f>+IF(DailyData[[#This Row],[Column2]]=0,0,DailyData[[#This Row],[Date]])</f>
        <v>0</v>
      </c>
      <c r="Q49" s="7">
        <v>45902</v>
      </c>
      <c r="R49" s="5">
        <v>1076789.1399999999</v>
      </c>
      <c r="S49" s="5">
        <v>4619.1499999999069</v>
      </c>
    </row>
    <row r="50" spans="3:19" x14ac:dyDescent="0.25">
      <c r="C50" s="1">
        <v>45841</v>
      </c>
      <c r="D50" s="2" t="s">
        <v>16</v>
      </c>
      <c r="E50">
        <v>20000</v>
      </c>
      <c r="F50">
        <v>0.215</v>
      </c>
      <c r="G50">
        <v>0.22500000000000001</v>
      </c>
      <c r="H50">
        <v>0.20499999999999999</v>
      </c>
      <c r="I50">
        <v>0.22500000000000001</v>
      </c>
      <c r="J50">
        <v>84757</v>
      </c>
      <c r="K50">
        <v>4500</v>
      </c>
      <c r="L50">
        <f t="shared" si="1"/>
        <v>0</v>
      </c>
      <c r="M50">
        <f>+IF(DailyData[[#This Row],[Column1]]&gt;0,DailyData[[#This Row],[Column1]]-L37,0)</f>
        <v>0</v>
      </c>
      <c r="N50" s="1">
        <f>+IF(DailyData[[#This Row],[Column2]]=0,0,DailyData[[#This Row],[Date]])</f>
        <v>0</v>
      </c>
      <c r="Q50" s="8">
        <v>45903</v>
      </c>
      <c r="R50" s="6">
        <v>1068416.98</v>
      </c>
      <c r="S50" s="6">
        <v>-8372.1599999999162</v>
      </c>
    </row>
    <row r="51" spans="3:19" x14ac:dyDescent="0.25">
      <c r="C51" s="1">
        <v>45841</v>
      </c>
      <c r="D51" s="2" t="s">
        <v>17</v>
      </c>
      <c r="E51">
        <v>700000</v>
      </c>
      <c r="F51">
        <v>3.0000000000000001E-3</v>
      </c>
      <c r="G51">
        <v>3.0000000000000001E-3</v>
      </c>
      <c r="H51">
        <v>2E-3</v>
      </c>
      <c r="I51">
        <v>2E-3</v>
      </c>
      <c r="J51">
        <v>1960121</v>
      </c>
      <c r="K51">
        <v>1750</v>
      </c>
      <c r="L51">
        <f t="shared" si="1"/>
        <v>0</v>
      </c>
      <c r="M51">
        <f>+IF(DailyData[[#This Row],[Column1]]&gt;0,DailyData[[#This Row],[Column1]]-L38,0)</f>
        <v>0</v>
      </c>
      <c r="N51" s="1">
        <f>+IF(DailyData[[#This Row],[Column2]]=0,0,DailyData[[#This Row],[Date]])</f>
        <v>0</v>
      </c>
      <c r="Q51" s="7">
        <v>45904</v>
      </c>
      <c r="R51" s="5">
        <v>1058158.2</v>
      </c>
      <c r="S51" s="5">
        <v>-10258.780000000028</v>
      </c>
    </row>
    <row r="52" spans="3:19" x14ac:dyDescent="0.25">
      <c r="C52" s="1">
        <v>45841</v>
      </c>
      <c r="D52" s="2" t="s">
        <v>18</v>
      </c>
      <c r="E52">
        <v>9412</v>
      </c>
      <c r="F52">
        <v>0.34499999999999997</v>
      </c>
      <c r="G52">
        <v>0.37</v>
      </c>
      <c r="H52">
        <v>0.34</v>
      </c>
      <c r="I52">
        <v>0.37</v>
      </c>
      <c r="J52">
        <v>584806</v>
      </c>
      <c r="K52">
        <v>3482.44</v>
      </c>
      <c r="L52">
        <f t="shared" si="1"/>
        <v>0</v>
      </c>
      <c r="M52">
        <f>+IF(DailyData[[#This Row],[Column1]]&gt;0,DailyData[[#This Row],[Column1]]-L39,0)</f>
        <v>0</v>
      </c>
      <c r="N52" s="1">
        <f>+IF(DailyData[[#This Row],[Column2]]=0,0,DailyData[[#This Row],[Date]])</f>
        <v>0</v>
      </c>
      <c r="Q52" s="8">
        <v>45905</v>
      </c>
      <c r="R52" s="6">
        <v>1050712.57</v>
      </c>
      <c r="S52" s="6">
        <v>-7445.6299999998882</v>
      </c>
    </row>
    <row r="53" spans="3:19" x14ac:dyDescent="0.25">
      <c r="C53" s="1">
        <v>45841</v>
      </c>
      <c r="D53" s="2" t="s">
        <v>19</v>
      </c>
      <c r="E53">
        <v>6000</v>
      </c>
      <c r="F53">
        <v>0.1</v>
      </c>
      <c r="G53">
        <v>0.1</v>
      </c>
      <c r="H53">
        <v>0.1</v>
      </c>
      <c r="I53">
        <v>0.1</v>
      </c>
      <c r="J53">
        <v>0</v>
      </c>
      <c r="K53">
        <v>600</v>
      </c>
      <c r="L53">
        <f t="shared" si="1"/>
        <v>0</v>
      </c>
      <c r="M53">
        <f>+IF(DailyData[[#This Row],[Column1]]&gt;0,DailyData[[#This Row],[Column1]]-L40,0)</f>
        <v>0</v>
      </c>
      <c r="N53" s="1">
        <f>+IF(DailyData[[#This Row],[Column2]]=0,0,DailyData[[#This Row],[Date]])</f>
        <v>0</v>
      </c>
      <c r="Q53" s="7">
        <v>45908</v>
      </c>
      <c r="R53" s="5">
        <v>1050099.27</v>
      </c>
      <c r="S53" s="5">
        <v>-613.30000000004657</v>
      </c>
    </row>
    <row r="54" spans="3:19" x14ac:dyDescent="0.25">
      <c r="C54" s="1">
        <v>45841</v>
      </c>
      <c r="D54" s="2" t="s">
        <v>20</v>
      </c>
      <c r="E54">
        <v>0</v>
      </c>
      <c r="F54">
        <v>33.42</v>
      </c>
      <c r="G54">
        <v>33.71</v>
      </c>
      <c r="H54">
        <v>33.270000000000003</v>
      </c>
      <c r="I54">
        <v>33.479999999999997</v>
      </c>
      <c r="J54">
        <v>3134557</v>
      </c>
      <c r="K54">
        <v>0</v>
      </c>
      <c r="L54">
        <f t="shared" si="1"/>
        <v>0</v>
      </c>
      <c r="M54">
        <f>+IF(DailyData[[#This Row],[Column1]]&gt;0,DailyData[[#This Row],[Column1]]-L41,0)</f>
        <v>0</v>
      </c>
      <c r="N54" s="1">
        <f>+IF(DailyData[[#This Row],[Column2]]=0,0,DailyData[[#This Row],[Date]])</f>
        <v>0</v>
      </c>
      <c r="Q54" s="8">
        <v>45909</v>
      </c>
      <c r="R54" s="6">
        <v>1042733.2699999999</v>
      </c>
      <c r="S54" s="6">
        <v>-7366.0000000001164</v>
      </c>
    </row>
    <row r="55" spans="3:19" x14ac:dyDescent="0.25">
      <c r="C55" s="1">
        <v>45841</v>
      </c>
      <c r="D55" s="2" t="s">
        <v>21</v>
      </c>
      <c r="E55">
        <v>1288</v>
      </c>
      <c r="F55">
        <v>24.01</v>
      </c>
      <c r="G55">
        <v>24.29</v>
      </c>
      <c r="H55">
        <v>23.83</v>
      </c>
      <c r="I55">
        <v>24</v>
      </c>
      <c r="J55">
        <v>3128810</v>
      </c>
      <c r="K55">
        <v>30912</v>
      </c>
      <c r="L55">
        <f t="shared" si="1"/>
        <v>923488.69999999984</v>
      </c>
      <c r="M55">
        <f>+IF(DailyData[[#This Row],[Column1]]&gt;0,DailyData[[#This Row],[Column1]]-L42,0)</f>
        <v>36554.779999999912</v>
      </c>
      <c r="N55" s="1">
        <f>+IF(DailyData[[#This Row],[Column2]]=0,0,DailyData[[#This Row],[Date]])</f>
        <v>45841</v>
      </c>
      <c r="Q55" s="7">
        <v>45910</v>
      </c>
      <c r="R55" s="5">
        <v>1022823.4600000001</v>
      </c>
      <c r="S55" s="5">
        <v>-19909.809999999823</v>
      </c>
    </row>
    <row r="56" spans="3:19" x14ac:dyDescent="0.25">
      <c r="C56" s="1">
        <v>45842</v>
      </c>
      <c r="D56" s="2" t="s">
        <v>9</v>
      </c>
      <c r="E56">
        <v>153181</v>
      </c>
      <c r="F56">
        <v>0.69</v>
      </c>
      <c r="G56">
        <v>0.70499999999999996</v>
      </c>
      <c r="H56">
        <v>0.68500000000000005</v>
      </c>
      <c r="I56">
        <v>0.69</v>
      </c>
      <c r="J56">
        <v>1184669</v>
      </c>
      <c r="K56">
        <v>105694.89</v>
      </c>
      <c r="L56">
        <f t="shared" si="1"/>
        <v>0</v>
      </c>
      <c r="M56">
        <f>+IF(DailyData[[#This Row],[Column1]]&gt;0,DailyData[[#This Row],[Column1]]-L43,0)</f>
        <v>0</v>
      </c>
      <c r="N56" s="1">
        <f>+IF(DailyData[[#This Row],[Column2]]=0,0,DailyData[[#This Row],[Date]])</f>
        <v>0</v>
      </c>
      <c r="Q56" s="8">
        <v>45911</v>
      </c>
      <c r="R56" s="6">
        <v>1015744.52</v>
      </c>
      <c r="S56" s="6">
        <v>-7078.9400000000605</v>
      </c>
    </row>
    <row r="57" spans="3:19" x14ac:dyDescent="0.25">
      <c r="C57" s="1">
        <v>45842</v>
      </c>
      <c r="D57" s="2" t="s">
        <v>10</v>
      </c>
      <c r="E57">
        <v>70000</v>
      </c>
      <c r="F57">
        <v>1.36</v>
      </c>
      <c r="G57">
        <v>1.425</v>
      </c>
      <c r="H57">
        <v>1.35</v>
      </c>
      <c r="I57">
        <v>1.425</v>
      </c>
      <c r="J57">
        <v>9476335</v>
      </c>
      <c r="K57">
        <v>99750</v>
      </c>
      <c r="L57">
        <f t="shared" si="1"/>
        <v>0</v>
      </c>
      <c r="M57">
        <f>+IF(DailyData[[#This Row],[Column1]]&gt;0,DailyData[[#This Row],[Column1]]-L44,0)</f>
        <v>0</v>
      </c>
      <c r="N57" s="1">
        <f>+IF(DailyData[[#This Row],[Column2]]=0,0,DailyData[[#This Row],[Date]])</f>
        <v>0</v>
      </c>
      <c r="Q57" s="7">
        <v>45912</v>
      </c>
      <c r="R57" s="5">
        <v>1021463.51</v>
      </c>
      <c r="S57" s="5">
        <v>5718.9899999999907</v>
      </c>
    </row>
    <row r="58" spans="3:19" x14ac:dyDescent="0.25">
      <c r="C58" s="1">
        <v>45842</v>
      </c>
      <c r="D58" s="2" t="s">
        <v>11</v>
      </c>
      <c r="E58">
        <v>57458</v>
      </c>
      <c r="F58">
        <v>0.57999999999999996</v>
      </c>
      <c r="G58">
        <v>0.59</v>
      </c>
      <c r="H58">
        <v>0.56999999999999995</v>
      </c>
      <c r="I58">
        <v>0.58499999999999996</v>
      </c>
      <c r="J58">
        <v>116205</v>
      </c>
      <c r="K58">
        <v>33612.93</v>
      </c>
      <c r="L58">
        <f t="shared" si="1"/>
        <v>0</v>
      </c>
      <c r="M58">
        <f>+IF(DailyData[[#This Row],[Column1]]&gt;0,DailyData[[#This Row],[Column1]]-L45,0)</f>
        <v>0</v>
      </c>
      <c r="N58" s="1">
        <f>+IF(DailyData[[#This Row],[Column2]]=0,0,DailyData[[#This Row],[Date]])</f>
        <v>0</v>
      </c>
      <c r="Q58" s="8">
        <v>45915</v>
      </c>
      <c r="R58" s="6">
        <v>1024552.36</v>
      </c>
      <c r="S58" s="6">
        <v>3088.8499999999767</v>
      </c>
    </row>
    <row r="59" spans="3:19" x14ac:dyDescent="0.25">
      <c r="C59" s="1">
        <v>45842</v>
      </c>
      <c r="D59" s="2" t="s">
        <v>12</v>
      </c>
      <c r="E59">
        <v>16361</v>
      </c>
      <c r="F59">
        <v>38.6</v>
      </c>
      <c r="G59">
        <v>38.99</v>
      </c>
      <c r="H59">
        <v>38.450000000000003</v>
      </c>
      <c r="I59">
        <v>38.729999999999997</v>
      </c>
      <c r="J59">
        <v>7905428</v>
      </c>
      <c r="K59">
        <v>633661.52</v>
      </c>
      <c r="L59">
        <f t="shared" si="1"/>
        <v>0</v>
      </c>
      <c r="M59">
        <f>+IF(DailyData[[#This Row],[Column1]]&gt;0,DailyData[[#This Row],[Column1]]-L46,0)</f>
        <v>0</v>
      </c>
      <c r="N59" s="1">
        <f>+IF(DailyData[[#This Row],[Column2]]=0,0,DailyData[[#This Row],[Date]])</f>
        <v>0</v>
      </c>
      <c r="Q59" s="7">
        <v>45916</v>
      </c>
      <c r="R59" s="5">
        <v>1025743.63</v>
      </c>
      <c r="S59" s="5">
        <v>1191.2700000000186</v>
      </c>
    </row>
    <row r="60" spans="3:19" x14ac:dyDescent="0.25">
      <c r="C60" s="1">
        <v>45842</v>
      </c>
      <c r="D60" s="2" t="s">
        <v>13</v>
      </c>
      <c r="E60">
        <v>44090</v>
      </c>
      <c r="F60">
        <v>1.4999999999999999E-2</v>
      </c>
      <c r="G60">
        <v>1.7000000000000001E-2</v>
      </c>
      <c r="H60">
        <v>1.4999999999999999E-2</v>
      </c>
      <c r="I60">
        <v>1.7000000000000001E-2</v>
      </c>
      <c r="J60">
        <v>4037271</v>
      </c>
      <c r="K60">
        <v>749.53</v>
      </c>
      <c r="L60">
        <f t="shared" si="1"/>
        <v>0</v>
      </c>
      <c r="M60">
        <f>+IF(DailyData[[#This Row],[Column1]]&gt;0,DailyData[[#This Row],[Column1]]-L47,0)</f>
        <v>0</v>
      </c>
      <c r="N60" s="1">
        <f>+IF(DailyData[[#This Row],[Column2]]=0,0,DailyData[[#This Row],[Date]])</f>
        <v>0</v>
      </c>
      <c r="Q60" s="8">
        <v>45917</v>
      </c>
      <c r="R60" s="6">
        <v>1021941.02</v>
      </c>
      <c r="S60" s="6">
        <v>-3802.609999999986</v>
      </c>
    </row>
    <row r="61" spans="3:19" x14ac:dyDescent="0.25">
      <c r="C61" s="1">
        <v>45842</v>
      </c>
      <c r="D61" s="2" t="s">
        <v>14</v>
      </c>
      <c r="E61">
        <v>0</v>
      </c>
      <c r="F61">
        <v>179.51</v>
      </c>
      <c r="G61">
        <v>180.49</v>
      </c>
      <c r="H61">
        <v>176.44</v>
      </c>
      <c r="I61">
        <v>178</v>
      </c>
      <c r="J61">
        <v>2022811</v>
      </c>
      <c r="K61">
        <v>0</v>
      </c>
      <c r="L61">
        <f t="shared" si="1"/>
        <v>0</v>
      </c>
      <c r="M61">
        <f>+IF(DailyData[[#This Row],[Column1]]&gt;0,DailyData[[#This Row],[Column1]]-L48,0)</f>
        <v>0</v>
      </c>
      <c r="N61" s="1">
        <f>+IF(DailyData[[#This Row],[Column2]]=0,0,DailyData[[#This Row],[Date]])</f>
        <v>0</v>
      </c>
      <c r="Q61" s="7">
        <v>45918</v>
      </c>
      <c r="R61" s="5">
        <v>1008615.6</v>
      </c>
      <c r="S61" s="5">
        <v>-13325.420000000042</v>
      </c>
    </row>
    <row r="62" spans="3:19" x14ac:dyDescent="0.25">
      <c r="C62" s="1">
        <v>45842</v>
      </c>
      <c r="D62" s="2" t="s">
        <v>15</v>
      </c>
      <c r="E62">
        <v>10000</v>
      </c>
      <c r="F62">
        <v>0.45</v>
      </c>
      <c r="G62">
        <v>0.46</v>
      </c>
      <c r="H62">
        <v>0.43</v>
      </c>
      <c r="I62">
        <v>0.44</v>
      </c>
      <c r="J62">
        <v>462804</v>
      </c>
      <c r="K62">
        <v>4400</v>
      </c>
      <c r="L62">
        <f t="shared" si="1"/>
        <v>0</v>
      </c>
      <c r="M62">
        <f>+IF(DailyData[[#This Row],[Column1]]&gt;0,DailyData[[#This Row],[Column1]]-L49,0)</f>
        <v>0</v>
      </c>
      <c r="N62" s="1">
        <f>+IF(DailyData[[#This Row],[Column2]]=0,0,DailyData[[#This Row],[Date]])</f>
        <v>0</v>
      </c>
      <c r="Q62" s="8">
        <v>45919</v>
      </c>
      <c r="R62" s="6">
        <v>1006523.25</v>
      </c>
      <c r="S62" s="6">
        <v>-2092.3499999999767</v>
      </c>
    </row>
    <row r="63" spans="3:19" x14ac:dyDescent="0.25">
      <c r="C63" s="1">
        <v>45842</v>
      </c>
      <c r="D63" s="2" t="s">
        <v>16</v>
      </c>
      <c r="E63">
        <v>20000</v>
      </c>
      <c r="F63">
        <v>0.22</v>
      </c>
      <c r="G63">
        <v>0.22</v>
      </c>
      <c r="H63">
        <v>0.215</v>
      </c>
      <c r="I63">
        <v>0.215</v>
      </c>
      <c r="J63">
        <v>14522</v>
      </c>
      <c r="K63">
        <v>4300</v>
      </c>
      <c r="L63">
        <f t="shared" si="1"/>
        <v>0</v>
      </c>
      <c r="M63">
        <f>+IF(DailyData[[#This Row],[Column1]]&gt;0,DailyData[[#This Row],[Column1]]-L50,0)</f>
        <v>0</v>
      </c>
      <c r="N63" s="1">
        <f>+IF(DailyData[[#This Row],[Column2]]=0,0,DailyData[[#This Row],[Date]])</f>
        <v>0</v>
      </c>
      <c r="Q63" s="7">
        <v>45922</v>
      </c>
      <c r="R63" s="5">
        <v>1027789.0700000001</v>
      </c>
      <c r="S63" s="5">
        <v>21265.820000000065</v>
      </c>
    </row>
    <row r="64" spans="3:19" x14ac:dyDescent="0.25">
      <c r="C64" s="1">
        <v>45842</v>
      </c>
      <c r="D64" s="2" t="s">
        <v>17</v>
      </c>
      <c r="E64">
        <v>700000</v>
      </c>
      <c r="F64">
        <v>2E-3</v>
      </c>
      <c r="G64">
        <v>2E-3</v>
      </c>
      <c r="H64">
        <v>2E-3</v>
      </c>
      <c r="I64">
        <v>2E-3</v>
      </c>
      <c r="J64">
        <v>355765</v>
      </c>
      <c r="K64">
        <v>1750</v>
      </c>
      <c r="L64">
        <f t="shared" si="1"/>
        <v>0</v>
      </c>
      <c r="M64">
        <f>+IF(DailyData[[#This Row],[Column1]]&gt;0,DailyData[[#This Row],[Column1]]-L51,0)</f>
        <v>0</v>
      </c>
      <c r="N64" s="1">
        <f>+IF(DailyData[[#This Row],[Column2]]=0,0,DailyData[[#This Row],[Date]])</f>
        <v>0</v>
      </c>
      <c r="Q64" s="8">
        <v>45923</v>
      </c>
      <c r="R64" s="6">
        <v>1035220.8400000001</v>
      </c>
      <c r="S64" s="6">
        <v>7431.7700000000186</v>
      </c>
    </row>
    <row r="65" spans="3:19" x14ac:dyDescent="0.25">
      <c r="C65" s="1">
        <v>45842</v>
      </c>
      <c r="D65" s="2" t="s">
        <v>18</v>
      </c>
      <c r="E65">
        <v>9412</v>
      </c>
      <c r="F65">
        <v>0.37</v>
      </c>
      <c r="G65">
        <v>0.38500000000000001</v>
      </c>
      <c r="H65">
        <v>0.35499999999999998</v>
      </c>
      <c r="I65">
        <v>0.35499999999999998</v>
      </c>
      <c r="J65">
        <v>199396</v>
      </c>
      <c r="K65">
        <v>3341.26</v>
      </c>
      <c r="L65">
        <f t="shared" si="1"/>
        <v>0</v>
      </c>
      <c r="M65">
        <f>+IF(DailyData[[#This Row],[Column1]]&gt;0,DailyData[[#This Row],[Column1]]-L52,0)</f>
        <v>0</v>
      </c>
      <c r="N65" s="1">
        <f>+IF(DailyData[[#This Row],[Column2]]=0,0,DailyData[[#This Row],[Date]])</f>
        <v>0</v>
      </c>
      <c r="Q65" s="7">
        <v>45924</v>
      </c>
      <c r="R65" s="5">
        <v>1039419.4600000002</v>
      </c>
      <c r="S65" s="5">
        <v>4198.6200000001118</v>
      </c>
    </row>
    <row r="66" spans="3:19" x14ac:dyDescent="0.25">
      <c r="C66" s="1">
        <v>45842</v>
      </c>
      <c r="D66" s="2" t="s">
        <v>19</v>
      </c>
      <c r="E66">
        <v>6000</v>
      </c>
      <c r="F66">
        <v>0.1</v>
      </c>
      <c r="G66">
        <v>0.1</v>
      </c>
      <c r="H66">
        <v>0.1</v>
      </c>
      <c r="I66">
        <v>0.1</v>
      </c>
      <c r="J66">
        <v>0</v>
      </c>
      <c r="K66">
        <v>600</v>
      </c>
      <c r="L66">
        <f t="shared" si="1"/>
        <v>0</v>
      </c>
      <c r="M66">
        <f>+IF(DailyData[[#This Row],[Column1]]&gt;0,DailyData[[#This Row],[Column1]]-L53,0)</f>
        <v>0</v>
      </c>
      <c r="N66" s="1">
        <f>+IF(DailyData[[#This Row],[Column2]]=0,0,DailyData[[#This Row],[Date]])</f>
        <v>0</v>
      </c>
      <c r="Q66" s="8">
        <v>45925</v>
      </c>
      <c r="R66" s="6">
        <v>1042685.5899999999</v>
      </c>
      <c r="S66" s="6">
        <v>3266.1299999996554</v>
      </c>
    </row>
    <row r="67" spans="3:19" x14ac:dyDescent="0.25">
      <c r="C67" s="1">
        <v>45842</v>
      </c>
      <c r="D67" s="2" t="s">
        <v>20</v>
      </c>
      <c r="E67">
        <v>0</v>
      </c>
      <c r="F67">
        <v>33.450000000000003</v>
      </c>
      <c r="G67">
        <v>33.799999999999997</v>
      </c>
      <c r="H67">
        <v>33.450000000000003</v>
      </c>
      <c r="I67">
        <v>33.630000000000003</v>
      </c>
      <c r="J67">
        <v>2223513</v>
      </c>
      <c r="K67">
        <v>0</v>
      </c>
      <c r="L67">
        <f t="shared" si="1"/>
        <v>0</v>
      </c>
      <c r="M67">
        <f>+IF(DailyData[[#This Row],[Column1]]&gt;0,DailyData[[#This Row],[Column1]]-L54,0)</f>
        <v>0</v>
      </c>
      <c r="N67" s="1">
        <f>+IF(DailyData[[#This Row],[Column2]]=0,0,DailyData[[#This Row],[Date]])</f>
        <v>0</v>
      </c>
      <c r="Q67" s="7">
        <v>45926</v>
      </c>
      <c r="R67" s="5">
        <v>1055663.47</v>
      </c>
      <c r="S67" s="5">
        <v>12977.880000000121</v>
      </c>
    </row>
    <row r="68" spans="3:19" x14ac:dyDescent="0.25">
      <c r="C68" s="1">
        <v>45842</v>
      </c>
      <c r="D68" s="2" t="s">
        <v>21</v>
      </c>
      <c r="E68">
        <v>1288</v>
      </c>
      <c r="F68">
        <v>24.07</v>
      </c>
      <c r="G68">
        <v>24.12</v>
      </c>
      <c r="H68">
        <v>23.95</v>
      </c>
      <c r="I68">
        <v>24.06</v>
      </c>
      <c r="J68">
        <v>2340558</v>
      </c>
      <c r="K68">
        <v>30989.279999999999</v>
      </c>
      <c r="L68">
        <f t="shared" si="1"/>
        <v>918849.41000000015</v>
      </c>
      <c r="M68">
        <f>+IF(DailyData[[#This Row],[Column1]]&gt;0,DailyData[[#This Row],[Column1]]-L55,0)</f>
        <v>-4639.289999999688</v>
      </c>
      <c r="N68" s="1">
        <f>+IF(DailyData[[#This Row],[Column2]]=0,0,DailyData[[#This Row],[Date]])</f>
        <v>45842</v>
      </c>
      <c r="Q68" s="8">
        <v>45929</v>
      </c>
      <c r="R68" s="6">
        <v>1058381.7899999998</v>
      </c>
      <c r="S68" s="6">
        <v>2718.3199999998324</v>
      </c>
    </row>
    <row r="69" spans="3:19" x14ac:dyDescent="0.25">
      <c r="C69" s="1">
        <v>45845</v>
      </c>
      <c r="D69" s="2" t="s">
        <v>9</v>
      </c>
      <c r="E69">
        <v>153181</v>
      </c>
      <c r="F69">
        <v>0.69</v>
      </c>
      <c r="G69">
        <v>0.7</v>
      </c>
      <c r="H69">
        <v>0.66500000000000004</v>
      </c>
      <c r="I69">
        <v>0.67</v>
      </c>
      <c r="J69">
        <v>1250922</v>
      </c>
      <c r="K69">
        <v>102631.27</v>
      </c>
      <c r="L69">
        <f t="shared" si="1"/>
        <v>0</v>
      </c>
      <c r="M69">
        <f>+IF(DailyData[[#This Row],[Column1]]&gt;0,DailyData[[#This Row],[Column1]]-L56,0)</f>
        <v>0</v>
      </c>
      <c r="N69" s="1">
        <f>+IF(DailyData[[#This Row],[Column2]]=0,0,DailyData[[#This Row],[Date]])</f>
        <v>0</v>
      </c>
      <c r="Q69" s="7">
        <v>45930</v>
      </c>
      <c r="R69" s="5">
        <v>1065252.3800000001</v>
      </c>
      <c r="S69" s="5">
        <v>6870.5900000003166</v>
      </c>
    </row>
    <row r="70" spans="3:19" x14ac:dyDescent="0.25">
      <c r="C70" s="1">
        <v>45845</v>
      </c>
      <c r="D70" s="2" t="s">
        <v>10</v>
      </c>
      <c r="E70">
        <v>70000</v>
      </c>
      <c r="F70">
        <v>1.42</v>
      </c>
      <c r="G70">
        <v>1.4330000000000001</v>
      </c>
      <c r="H70">
        <v>1.405</v>
      </c>
      <c r="I70">
        <v>1.43</v>
      </c>
      <c r="J70">
        <v>6737161</v>
      </c>
      <c r="K70">
        <v>100100</v>
      </c>
      <c r="L70">
        <f t="shared" si="1"/>
        <v>0</v>
      </c>
      <c r="M70">
        <f>+IF(DailyData[[#This Row],[Column1]]&gt;0,DailyData[[#This Row],[Column1]]-L57,0)</f>
        <v>0</v>
      </c>
      <c r="N70" s="1">
        <f>+IF(DailyData[[#This Row],[Column2]]=0,0,DailyData[[#This Row],[Date]])</f>
        <v>0</v>
      </c>
      <c r="Q70" s="8">
        <v>45931</v>
      </c>
      <c r="R70" s="6">
        <v>1050376.1499999999</v>
      </c>
      <c r="S70" s="6">
        <v>-14876.230000000214</v>
      </c>
    </row>
    <row r="71" spans="3:19" x14ac:dyDescent="0.25">
      <c r="C71" s="1">
        <v>45845</v>
      </c>
      <c r="D71" s="2" t="s">
        <v>11</v>
      </c>
      <c r="E71">
        <v>57458</v>
      </c>
      <c r="F71">
        <v>0.57999999999999996</v>
      </c>
      <c r="G71">
        <v>0.59</v>
      </c>
      <c r="H71">
        <v>0.56499999999999995</v>
      </c>
      <c r="I71">
        <v>0.56499999999999995</v>
      </c>
      <c r="J71">
        <v>86805</v>
      </c>
      <c r="K71">
        <v>32463.77</v>
      </c>
      <c r="L71">
        <f t="shared" si="1"/>
        <v>0</v>
      </c>
      <c r="M71">
        <f>+IF(DailyData[[#This Row],[Column1]]&gt;0,DailyData[[#This Row],[Column1]]-L58,0)</f>
        <v>0</v>
      </c>
      <c r="N71" s="1">
        <f>+IF(DailyData[[#This Row],[Column2]]=0,0,DailyData[[#This Row],[Date]])</f>
        <v>0</v>
      </c>
      <c r="Q71" s="7">
        <v>45932</v>
      </c>
      <c r="R71" s="5">
        <v>1065013.22</v>
      </c>
      <c r="S71" s="5">
        <v>14637.070000000065</v>
      </c>
    </row>
    <row r="72" spans="3:19" x14ac:dyDescent="0.25">
      <c r="C72" s="1">
        <v>45845</v>
      </c>
      <c r="D72" s="2" t="s">
        <v>12</v>
      </c>
      <c r="E72">
        <v>16361</v>
      </c>
      <c r="F72">
        <v>38.65</v>
      </c>
      <c r="G72">
        <v>38.875</v>
      </c>
      <c r="H72">
        <v>38.53</v>
      </c>
      <c r="I72">
        <v>38.6</v>
      </c>
      <c r="J72">
        <v>4267350</v>
      </c>
      <c r="K72">
        <v>631534.57999999996</v>
      </c>
      <c r="L72">
        <f t="shared" si="1"/>
        <v>0</v>
      </c>
      <c r="M72">
        <f>+IF(DailyData[[#This Row],[Column1]]&gt;0,DailyData[[#This Row],[Column1]]-L59,0)</f>
        <v>0</v>
      </c>
      <c r="N72" s="1">
        <f>+IF(DailyData[[#This Row],[Column2]]=0,0,DailyData[[#This Row],[Date]])</f>
        <v>0</v>
      </c>
      <c r="Q72" s="8">
        <v>45933</v>
      </c>
      <c r="R72" s="6">
        <v>1067207.52</v>
      </c>
      <c r="S72" s="6">
        <v>2194.3000000000466</v>
      </c>
    </row>
    <row r="73" spans="3:19" x14ac:dyDescent="0.25">
      <c r="C73" s="1">
        <v>45845</v>
      </c>
      <c r="D73" s="2" t="s">
        <v>13</v>
      </c>
      <c r="E73">
        <v>44090</v>
      </c>
      <c r="F73">
        <v>1.7999999999999999E-2</v>
      </c>
      <c r="G73">
        <v>1.7999999999999999E-2</v>
      </c>
      <c r="H73">
        <v>1.6E-2</v>
      </c>
      <c r="I73">
        <v>1.6E-2</v>
      </c>
      <c r="J73">
        <v>984386</v>
      </c>
      <c r="K73">
        <v>705.44</v>
      </c>
      <c r="L73">
        <f t="shared" si="1"/>
        <v>0</v>
      </c>
      <c r="M73">
        <f>+IF(DailyData[[#This Row],[Column1]]&gt;0,DailyData[[#This Row],[Column1]]-L60,0)</f>
        <v>0</v>
      </c>
      <c r="N73" s="1">
        <f>+IF(DailyData[[#This Row],[Column2]]=0,0,DailyData[[#This Row],[Date]])</f>
        <v>0</v>
      </c>
      <c r="Q73" s="7">
        <v>45936</v>
      </c>
      <c r="R73" s="5">
        <v>1074229.9800000002</v>
      </c>
      <c r="S73" s="5">
        <v>7022.4600000001956</v>
      </c>
    </row>
    <row r="74" spans="3:19" x14ac:dyDescent="0.25">
      <c r="C74" s="1">
        <v>45845</v>
      </c>
      <c r="D74" s="2" t="s">
        <v>14</v>
      </c>
      <c r="E74">
        <v>0</v>
      </c>
      <c r="F74">
        <v>177.57</v>
      </c>
      <c r="G74">
        <v>179.01499999999999</v>
      </c>
      <c r="H74">
        <v>176.98</v>
      </c>
      <c r="I74">
        <v>177.81</v>
      </c>
      <c r="J74">
        <v>1233379</v>
      </c>
      <c r="K74">
        <v>0</v>
      </c>
      <c r="L74">
        <f t="shared" si="1"/>
        <v>0</v>
      </c>
      <c r="M74">
        <f>+IF(DailyData[[#This Row],[Column1]]&gt;0,DailyData[[#This Row],[Column1]]-L61,0)</f>
        <v>0</v>
      </c>
      <c r="N74" s="1">
        <f>+IF(DailyData[[#This Row],[Column2]]=0,0,DailyData[[#This Row],[Date]])</f>
        <v>0</v>
      </c>
      <c r="Q74" s="8">
        <v>45937</v>
      </c>
      <c r="R74" s="6">
        <v>1077914.04</v>
      </c>
      <c r="S74" s="6">
        <v>3684.059999999823</v>
      </c>
    </row>
    <row r="75" spans="3:19" x14ac:dyDescent="0.25">
      <c r="C75" s="1">
        <v>45845</v>
      </c>
      <c r="D75" s="2" t="s">
        <v>15</v>
      </c>
      <c r="E75">
        <v>10000</v>
      </c>
      <c r="F75">
        <v>0.44</v>
      </c>
      <c r="G75">
        <v>0.44</v>
      </c>
      <c r="H75">
        <v>0.4</v>
      </c>
      <c r="I75">
        <v>0.42499999999999999</v>
      </c>
      <c r="J75">
        <v>314515</v>
      </c>
      <c r="K75">
        <v>4250</v>
      </c>
      <c r="L75">
        <f t="shared" si="1"/>
        <v>0</v>
      </c>
      <c r="M75">
        <f>+IF(DailyData[[#This Row],[Column1]]&gt;0,DailyData[[#This Row],[Column1]]-L62,0)</f>
        <v>0</v>
      </c>
      <c r="N75" s="1">
        <f>+IF(DailyData[[#This Row],[Column2]]=0,0,DailyData[[#This Row],[Date]])</f>
        <v>0</v>
      </c>
      <c r="Q75" s="7">
        <v>45938</v>
      </c>
      <c r="R75" s="5">
        <v>1076446.28</v>
      </c>
      <c r="S75" s="5">
        <v>-1467.7600000000093</v>
      </c>
    </row>
    <row r="76" spans="3:19" x14ac:dyDescent="0.25">
      <c r="C76" s="1">
        <v>45845</v>
      </c>
      <c r="D76" s="2" t="s">
        <v>16</v>
      </c>
      <c r="E76">
        <v>20000</v>
      </c>
      <c r="F76">
        <v>0.20499999999999999</v>
      </c>
      <c r="G76">
        <v>0.22500000000000001</v>
      </c>
      <c r="H76">
        <v>0.20499999999999999</v>
      </c>
      <c r="I76">
        <v>0.22500000000000001</v>
      </c>
      <c r="J76">
        <v>79414</v>
      </c>
      <c r="K76">
        <v>4500</v>
      </c>
      <c r="L76">
        <f t="shared" si="1"/>
        <v>0</v>
      </c>
      <c r="M76">
        <f>+IF(DailyData[[#This Row],[Column1]]&gt;0,DailyData[[#This Row],[Column1]]-L63,0)</f>
        <v>0</v>
      </c>
      <c r="N76" s="1">
        <f>+IF(DailyData[[#This Row],[Column2]]=0,0,DailyData[[#This Row],[Date]])</f>
        <v>0</v>
      </c>
      <c r="Q76" s="8">
        <v>45939</v>
      </c>
      <c r="R76" s="6">
        <v>1098087.3199999998</v>
      </c>
      <c r="S76" s="6">
        <v>21641.039999999804</v>
      </c>
    </row>
    <row r="77" spans="3:19" x14ac:dyDescent="0.25">
      <c r="C77" s="1">
        <v>45845</v>
      </c>
      <c r="D77" s="2" t="s">
        <v>17</v>
      </c>
      <c r="E77">
        <v>700000</v>
      </c>
      <c r="F77">
        <v>2E-3</v>
      </c>
      <c r="G77">
        <v>2E-3</v>
      </c>
      <c r="H77">
        <v>2E-3</v>
      </c>
      <c r="I77">
        <v>2E-3</v>
      </c>
      <c r="J77">
        <v>251244</v>
      </c>
      <c r="K77">
        <v>1750</v>
      </c>
      <c r="L77">
        <f t="shared" si="1"/>
        <v>0</v>
      </c>
      <c r="M77">
        <f>+IF(DailyData[[#This Row],[Column1]]&gt;0,DailyData[[#This Row],[Column1]]-L64,0)</f>
        <v>0</v>
      </c>
      <c r="N77" s="1">
        <f>+IF(DailyData[[#This Row],[Column2]]=0,0,DailyData[[#This Row],[Date]])</f>
        <v>0</v>
      </c>
      <c r="Q77" s="7">
        <v>45940</v>
      </c>
      <c r="R77" s="5">
        <v>1072665.6199999999</v>
      </c>
      <c r="S77" s="5">
        <v>-25421.699999999953</v>
      </c>
    </row>
    <row r="78" spans="3:19" x14ac:dyDescent="0.25">
      <c r="C78" s="1">
        <v>45845</v>
      </c>
      <c r="D78" s="2" t="s">
        <v>18</v>
      </c>
      <c r="E78">
        <v>9412</v>
      </c>
      <c r="F78">
        <v>0.36</v>
      </c>
      <c r="G78">
        <v>0.36</v>
      </c>
      <c r="H78">
        <v>0.35499999999999998</v>
      </c>
      <c r="I78">
        <v>0.35499999999999998</v>
      </c>
      <c r="J78">
        <v>483694</v>
      </c>
      <c r="K78">
        <v>3341.26</v>
      </c>
      <c r="L78">
        <f t="shared" si="1"/>
        <v>0</v>
      </c>
      <c r="M78">
        <f>+IF(DailyData[[#This Row],[Column1]]&gt;0,DailyData[[#This Row],[Column1]]-L65,0)</f>
        <v>0</v>
      </c>
      <c r="N78" s="1">
        <f>+IF(DailyData[[#This Row],[Column2]]=0,0,DailyData[[#This Row],[Date]])</f>
        <v>0</v>
      </c>
      <c r="Q78" s="8">
        <v>45943</v>
      </c>
      <c r="R78" s="6">
        <v>1092080.8200000003</v>
      </c>
      <c r="S78" s="6">
        <v>19415.200000000419</v>
      </c>
    </row>
    <row r="79" spans="3:19" x14ac:dyDescent="0.25">
      <c r="C79" s="1">
        <v>45845</v>
      </c>
      <c r="D79" s="2" t="s">
        <v>19</v>
      </c>
      <c r="E79">
        <v>6000</v>
      </c>
      <c r="F79">
        <v>0.1</v>
      </c>
      <c r="G79">
        <v>0.1</v>
      </c>
      <c r="H79">
        <v>0.1</v>
      </c>
      <c r="I79">
        <v>0.1</v>
      </c>
      <c r="J79">
        <v>0</v>
      </c>
      <c r="K79">
        <v>600</v>
      </c>
      <c r="L79">
        <f t="shared" si="1"/>
        <v>0</v>
      </c>
      <c r="M79">
        <f>+IF(DailyData[[#This Row],[Column1]]&gt;0,DailyData[[#This Row],[Column1]]-L66,0)</f>
        <v>0</v>
      </c>
      <c r="N79" s="1">
        <f>+IF(DailyData[[#This Row],[Column2]]=0,0,DailyData[[#This Row],[Date]])</f>
        <v>0</v>
      </c>
      <c r="Q79" s="7">
        <v>45944</v>
      </c>
      <c r="R79" s="5">
        <v>1165639.4700000002</v>
      </c>
      <c r="S79" s="5">
        <v>73558.649999999907</v>
      </c>
    </row>
    <row r="80" spans="3:19" x14ac:dyDescent="0.25">
      <c r="C80" s="1">
        <v>45845</v>
      </c>
      <c r="D80" s="2" t="s">
        <v>20</v>
      </c>
      <c r="E80">
        <v>0</v>
      </c>
      <c r="F80">
        <v>33.549999999999997</v>
      </c>
      <c r="G80">
        <v>33.799999999999997</v>
      </c>
      <c r="H80">
        <v>33.200000000000003</v>
      </c>
      <c r="I80">
        <v>33.479999999999997</v>
      </c>
      <c r="J80">
        <v>2361188</v>
      </c>
      <c r="K80">
        <v>0</v>
      </c>
      <c r="L80">
        <f t="shared" si="1"/>
        <v>0</v>
      </c>
      <c r="M80">
        <f>+IF(DailyData[[#This Row],[Column1]]&gt;0,DailyData[[#This Row],[Column1]]-L67,0)</f>
        <v>0</v>
      </c>
      <c r="N80" s="1">
        <f>+IF(DailyData[[#This Row],[Column2]]=0,0,DailyData[[#This Row],[Date]])</f>
        <v>0</v>
      </c>
      <c r="Q80" s="8">
        <v>45945</v>
      </c>
      <c r="R80" s="6">
        <v>1168518.24</v>
      </c>
      <c r="S80" s="6">
        <v>2878.7699999997858</v>
      </c>
    </row>
    <row r="81" spans="3:19" x14ac:dyDescent="0.25">
      <c r="C81" s="1">
        <v>45845</v>
      </c>
      <c r="D81" s="2" t="s">
        <v>21</v>
      </c>
      <c r="E81">
        <v>1288</v>
      </c>
      <c r="F81">
        <v>23.98</v>
      </c>
      <c r="G81">
        <v>24.05</v>
      </c>
      <c r="H81">
        <v>23.64</v>
      </c>
      <c r="I81">
        <v>23.87</v>
      </c>
      <c r="J81">
        <v>3417676</v>
      </c>
      <c r="K81">
        <v>30744.560000000001</v>
      </c>
      <c r="L81">
        <f t="shared" ref="L81:L144" si="2">+IF(C82&lt;&gt;C81,SUM(K69:K81),0)</f>
        <v>912620.88</v>
      </c>
      <c r="M81">
        <f>+IF(DailyData[[#This Row],[Column1]]&gt;0,DailyData[[#This Row],[Column1]]-L68,0)</f>
        <v>-6228.5300000001444</v>
      </c>
      <c r="N81" s="1">
        <f>+IF(DailyData[[#This Row],[Column2]]=0,0,DailyData[[#This Row],[Date]])</f>
        <v>45845</v>
      </c>
      <c r="Q81" s="7">
        <v>45946</v>
      </c>
      <c r="R81" s="5">
        <v>1167615.4900000002</v>
      </c>
      <c r="S81" s="5">
        <v>-902.74999999976717</v>
      </c>
    </row>
    <row r="82" spans="3:19" x14ac:dyDescent="0.25">
      <c r="C82" s="1">
        <v>45846</v>
      </c>
      <c r="D82" s="2" t="s">
        <v>9</v>
      </c>
      <c r="E82">
        <v>153181</v>
      </c>
      <c r="F82">
        <v>0.67</v>
      </c>
      <c r="G82">
        <v>0.7</v>
      </c>
      <c r="H82">
        <v>0.66500000000000004</v>
      </c>
      <c r="I82">
        <v>0.7</v>
      </c>
      <c r="J82">
        <v>2397901</v>
      </c>
      <c r="K82">
        <v>107226.7</v>
      </c>
      <c r="L82">
        <f t="shared" si="2"/>
        <v>0</v>
      </c>
      <c r="M82">
        <f>+IF(DailyData[[#This Row],[Column1]]&gt;0,DailyData[[#This Row],[Column1]]-L69,0)</f>
        <v>0</v>
      </c>
      <c r="N82" s="1">
        <f>+IF(DailyData[[#This Row],[Column2]]=0,0,DailyData[[#This Row],[Date]])</f>
        <v>0</v>
      </c>
      <c r="Q82" s="8">
        <v>45947</v>
      </c>
      <c r="R82" s="6">
        <v>1150459.46</v>
      </c>
      <c r="S82" s="6">
        <v>-17156.030000000261</v>
      </c>
    </row>
    <row r="83" spans="3:19" x14ac:dyDescent="0.25">
      <c r="C83" s="1">
        <v>45846</v>
      </c>
      <c r="D83" s="2" t="s">
        <v>10</v>
      </c>
      <c r="E83">
        <v>70000</v>
      </c>
      <c r="F83">
        <v>1.42</v>
      </c>
      <c r="G83">
        <v>1.4550000000000001</v>
      </c>
      <c r="H83">
        <v>1.4</v>
      </c>
      <c r="I83">
        <v>1.4450000000000001</v>
      </c>
      <c r="J83">
        <v>7767542</v>
      </c>
      <c r="K83">
        <v>101150</v>
      </c>
      <c r="L83">
        <f t="shared" si="2"/>
        <v>0</v>
      </c>
      <c r="M83">
        <f>+IF(DailyData[[#This Row],[Column1]]&gt;0,DailyData[[#This Row],[Column1]]-L70,0)</f>
        <v>0</v>
      </c>
      <c r="N83" s="1">
        <f>+IF(DailyData[[#This Row],[Column2]]=0,0,DailyData[[#This Row],[Date]])</f>
        <v>0</v>
      </c>
      <c r="Q83" s="7">
        <v>45950</v>
      </c>
      <c r="R83" s="5">
        <v>1124817.3800000001</v>
      </c>
      <c r="S83" s="5">
        <v>-25642.079999999842</v>
      </c>
    </row>
    <row r="84" spans="3:19" x14ac:dyDescent="0.25">
      <c r="C84" s="1">
        <v>45846</v>
      </c>
      <c r="D84" s="2" t="s">
        <v>11</v>
      </c>
      <c r="E84">
        <v>57458</v>
      </c>
      <c r="F84">
        <v>0.56499999999999995</v>
      </c>
      <c r="G84">
        <v>0.56999999999999995</v>
      </c>
      <c r="H84">
        <v>0.56000000000000005</v>
      </c>
      <c r="I84">
        <v>0.56000000000000005</v>
      </c>
      <c r="J84">
        <v>109877</v>
      </c>
      <c r="K84">
        <v>32176.48</v>
      </c>
      <c r="L84">
        <f t="shared" si="2"/>
        <v>0</v>
      </c>
      <c r="M84">
        <f>+IF(DailyData[[#This Row],[Column1]]&gt;0,DailyData[[#This Row],[Column1]]-L71,0)</f>
        <v>0</v>
      </c>
      <c r="N84" s="1">
        <f>+IF(DailyData[[#This Row],[Column2]]=0,0,DailyData[[#This Row],[Date]])</f>
        <v>0</v>
      </c>
      <c r="Q84" s="8">
        <v>45951</v>
      </c>
      <c r="R84" s="6">
        <v>1152678.78</v>
      </c>
      <c r="S84" s="6">
        <v>27861.399999999907</v>
      </c>
    </row>
    <row r="85" spans="3:19" x14ac:dyDescent="0.25">
      <c r="C85" s="1">
        <v>45846</v>
      </c>
      <c r="D85" s="2" t="s">
        <v>12</v>
      </c>
      <c r="E85">
        <v>16361</v>
      </c>
      <c r="F85">
        <v>37.770000000000003</v>
      </c>
      <c r="G85">
        <v>38.270000000000003</v>
      </c>
      <c r="H85">
        <v>37.56</v>
      </c>
      <c r="I85">
        <v>38.24</v>
      </c>
      <c r="J85">
        <v>8029159</v>
      </c>
      <c r="K85">
        <v>625644.67000000004</v>
      </c>
      <c r="L85">
        <f t="shared" si="2"/>
        <v>0</v>
      </c>
      <c r="M85">
        <f>+IF(DailyData[[#This Row],[Column1]]&gt;0,DailyData[[#This Row],[Column1]]-L72,0)</f>
        <v>0</v>
      </c>
      <c r="N85" s="1">
        <f>+IF(DailyData[[#This Row],[Column2]]=0,0,DailyData[[#This Row],[Date]])</f>
        <v>0</v>
      </c>
      <c r="Q85" s="7">
        <v>45952</v>
      </c>
      <c r="R85" s="5">
        <v>1124475.96</v>
      </c>
      <c r="S85" s="5">
        <v>-28202.820000000065</v>
      </c>
    </row>
    <row r="86" spans="3:19" x14ac:dyDescent="0.25">
      <c r="C86" s="1">
        <v>45846</v>
      </c>
      <c r="D86" s="2" t="s">
        <v>13</v>
      </c>
      <c r="E86">
        <v>44090</v>
      </c>
      <c r="F86">
        <v>1.6E-2</v>
      </c>
      <c r="G86">
        <v>1.7000000000000001E-2</v>
      </c>
      <c r="H86">
        <v>1.4999999999999999E-2</v>
      </c>
      <c r="I86">
        <v>1.4999999999999999E-2</v>
      </c>
      <c r="J86">
        <v>661219</v>
      </c>
      <c r="K86">
        <v>661.35</v>
      </c>
      <c r="L86">
        <f t="shared" si="2"/>
        <v>0</v>
      </c>
      <c r="M86">
        <f>+IF(DailyData[[#This Row],[Column1]]&gt;0,DailyData[[#This Row],[Column1]]-L73,0)</f>
        <v>0</v>
      </c>
      <c r="N86" s="1">
        <f>+IF(DailyData[[#This Row],[Column2]]=0,0,DailyData[[#This Row],[Date]])</f>
        <v>0</v>
      </c>
      <c r="Q86" s="8">
        <v>45953</v>
      </c>
      <c r="R86" s="6">
        <v>1111592.75</v>
      </c>
      <c r="S86" s="6">
        <v>-12883.209999999963</v>
      </c>
    </row>
    <row r="87" spans="3:19" x14ac:dyDescent="0.25">
      <c r="C87" s="1">
        <v>45846</v>
      </c>
      <c r="D87" s="2" t="s">
        <v>14</v>
      </c>
      <c r="E87">
        <v>0</v>
      </c>
      <c r="F87">
        <v>177.08</v>
      </c>
      <c r="G87">
        <v>179.9</v>
      </c>
      <c r="H87">
        <v>176.84</v>
      </c>
      <c r="I87">
        <v>179.28</v>
      </c>
      <c r="J87">
        <v>2169151</v>
      </c>
      <c r="K87">
        <v>0</v>
      </c>
      <c r="L87">
        <f t="shared" si="2"/>
        <v>0</v>
      </c>
      <c r="M87">
        <f>+IF(DailyData[[#This Row],[Column1]]&gt;0,DailyData[[#This Row],[Column1]]-L74,0)</f>
        <v>0</v>
      </c>
      <c r="N87" s="1">
        <f>+IF(DailyData[[#This Row],[Column2]]=0,0,DailyData[[#This Row],[Date]])</f>
        <v>0</v>
      </c>
      <c r="Q87" s="7">
        <v>45954</v>
      </c>
      <c r="R87" s="5">
        <v>1103121.5899999999</v>
      </c>
      <c r="S87" s="5">
        <v>-8471.160000000149</v>
      </c>
    </row>
    <row r="88" spans="3:19" x14ac:dyDescent="0.25">
      <c r="C88" s="1">
        <v>45846</v>
      </c>
      <c r="D88" s="2" t="s">
        <v>15</v>
      </c>
      <c r="E88">
        <v>10000</v>
      </c>
      <c r="F88">
        <v>0.42</v>
      </c>
      <c r="G88">
        <v>0.44500000000000001</v>
      </c>
      <c r="H88">
        <v>0.41499999999999998</v>
      </c>
      <c r="I88">
        <v>0.43</v>
      </c>
      <c r="J88">
        <v>174104</v>
      </c>
      <c r="K88">
        <v>4300</v>
      </c>
      <c r="L88">
        <f t="shared" si="2"/>
        <v>0</v>
      </c>
      <c r="M88">
        <f>+IF(DailyData[[#This Row],[Column1]]&gt;0,DailyData[[#This Row],[Column1]]-L75,0)</f>
        <v>0</v>
      </c>
      <c r="N88" s="1">
        <f>+IF(DailyData[[#This Row],[Column2]]=0,0,DailyData[[#This Row],[Date]])</f>
        <v>0</v>
      </c>
      <c r="Q88" s="8">
        <v>45957</v>
      </c>
      <c r="R88" s="6">
        <v>1098653.9199999997</v>
      </c>
      <c r="S88" s="6">
        <v>-4467.6700000001583</v>
      </c>
    </row>
    <row r="89" spans="3:19" x14ac:dyDescent="0.25">
      <c r="C89" s="1">
        <v>45846</v>
      </c>
      <c r="D89" s="2" t="s">
        <v>16</v>
      </c>
      <c r="E89">
        <v>20000</v>
      </c>
      <c r="F89">
        <v>0.22500000000000001</v>
      </c>
      <c r="G89">
        <v>0.22500000000000001</v>
      </c>
      <c r="H89">
        <v>0.20499999999999999</v>
      </c>
      <c r="I89">
        <v>0.22500000000000001</v>
      </c>
      <c r="J89">
        <v>139364</v>
      </c>
      <c r="K89">
        <v>4500</v>
      </c>
      <c r="L89">
        <f t="shared" si="2"/>
        <v>0</v>
      </c>
      <c r="M89">
        <f>+IF(DailyData[[#This Row],[Column1]]&gt;0,DailyData[[#This Row],[Column1]]-L76,0)</f>
        <v>0</v>
      </c>
      <c r="N89" s="1">
        <f>+IF(DailyData[[#This Row],[Column2]]=0,0,DailyData[[#This Row],[Date]])</f>
        <v>0</v>
      </c>
      <c r="Q89" s="7">
        <v>45958</v>
      </c>
      <c r="R89" s="5">
        <v>1081061.26</v>
      </c>
      <c r="S89" s="5">
        <v>-17592.659999999683</v>
      </c>
    </row>
    <row r="90" spans="3:19" x14ac:dyDescent="0.25">
      <c r="C90" s="1">
        <v>45846</v>
      </c>
      <c r="D90" s="2" t="s">
        <v>17</v>
      </c>
      <c r="E90">
        <v>700000</v>
      </c>
      <c r="F90">
        <v>2E-3</v>
      </c>
      <c r="G90">
        <v>2E-3</v>
      </c>
      <c r="H90">
        <v>2E-3</v>
      </c>
      <c r="I90">
        <v>2E-3</v>
      </c>
      <c r="J90">
        <v>140333</v>
      </c>
      <c r="K90">
        <v>1750</v>
      </c>
      <c r="L90">
        <f t="shared" si="2"/>
        <v>0</v>
      </c>
      <c r="M90">
        <f>+IF(DailyData[[#This Row],[Column1]]&gt;0,DailyData[[#This Row],[Column1]]-L77,0)</f>
        <v>0</v>
      </c>
      <c r="N90" s="1">
        <f>+IF(DailyData[[#This Row],[Column2]]=0,0,DailyData[[#This Row],[Date]])</f>
        <v>0</v>
      </c>
      <c r="Q90" s="8">
        <v>45959</v>
      </c>
      <c r="R90" s="6">
        <v>1100406.49</v>
      </c>
      <c r="S90" s="6">
        <v>19345.229999999981</v>
      </c>
    </row>
    <row r="91" spans="3:19" x14ac:dyDescent="0.25">
      <c r="C91" s="1">
        <v>45846</v>
      </c>
      <c r="D91" s="2" t="s">
        <v>18</v>
      </c>
      <c r="E91">
        <v>9412</v>
      </c>
      <c r="F91">
        <v>0.35499999999999998</v>
      </c>
      <c r="G91">
        <v>0.37</v>
      </c>
      <c r="H91">
        <v>0.35499999999999998</v>
      </c>
      <c r="I91">
        <v>0.37</v>
      </c>
      <c r="J91">
        <v>303922</v>
      </c>
      <c r="K91">
        <v>3482.44</v>
      </c>
      <c r="L91">
        <f t="shared" si="2"/>
        <v>0</v>
      </c>
      <c r="M91">
        <f>+IF(DailyData[[#This Row],[Column1]]&gt;0,DailyData[[#This Row],[Column1]]-L78,0)</f>
        <v>0</v>
      </c>
      <c r="N91" s="1">
        <f>+IF(DailyData[[#This Row],[Column2]]=0,0,DailyData[[#This Row],[Date]])</f>
        <v>0</v>
      </c>
      <c r="Q91" s="7">
        <v>45960</v>
      </c>
      <c r="R91" s="5">
        <v>1090719.8800000001</v>
      </c>
      <c r="S91" s="5">
        <v>-9686.6099999998696</v>
      </c>
    </row>
    <row r="92" spans="3:19" x14ac:dyDescent="0.25">
      <c r="C92" s="1">
        <v>45846</v>
      </c>
      <c r="D92" s="2" t="s">
        <v>19</v>
      </c>
      <c r="E92">
        <v>6000</v>
      </c>
      <c r="F92">
        <v>8.5999999999999993E-2</v>
      </c>
      <c r="G92">
        <v>0.09</v>
      </c>
      <c r="H92">
        <v>7.9000000000000001E-2</v>
      </c>
      <c r="I92">
        <v>8.5999999999999993E-2</v>
      </c>
      <c r="J92">
        <v>85016</v>
      </c>
      <c r="K92">
        <v>516</v>
      </c>
      <c r="L92">
        <f t="shared" si="2"/>
        <v>0</v>
      </c>
      <c r="M92">
        <f>+IF(DailyData[[#This Row],[Column1]]&gt;0,DailyData[[#This Row],[Column1]]-L79,0)</f>
        <v>0</v>
      </c>
      <c r="N92" s="1">
        <f>+IF(DailyData[[#This Row],[Column2]]=0,0,DailyData[[#This Row],[Date]])</f>
        <v>0</v>
      </c>
      <c r="Q92" s="8">
        <v>45961</v>
      </c>
      <c r="R92" s="6">
        <v>1096351.78</v>
      </c>
      <c r="S92" s="6">
        <v>5631.8999999999069</v>
      </c>
    </row>
    <row r="93" spans="3:19" x14ac:dyDescent="0.25">
      <c r="C93" s="1">
        <v>45846</v>
      </c>
      <c r="D93" s="2" t="s">
        <v>20</v>
      </c>
      <c r="E93">
        <v>0</v>
      </c>
      <c r="F93">
        <v>33.25</v>
      </c>
      <c r="G93">
        <v>33.68</v>
      </c>
      <c r="H93">
        <v>33.08</v>
      </c>
      <c r="I93">
        <v>33.47</v>
      </c>
      <c r="J93">
        <v>5529051</v>
      </c>
      <c r="K93">
        <v>0</v>
      </c>
      <c r="L93">
        <f t="shared" si="2"/>
        <v>0</v>
      </c>
      <c r="M93">
        <f>+IF(DailyData[[#This Row],[Column1]]&gt;0,DailyData[[#This Row],[Column1]]-L80,0)</f>
        <v>0</v>
      </c>
      <c r="N93" s="1">
        <f>+IF(DailyData[[#This Row],[Column2]]=0,0,DailyData[[#This Row],[Date]])</f>
        <v>0</v>
      </c>
      <c r="Q93" s="7">
        <v>45964</v>
      </c>
      <c r="R93" s="5">
        <v>1090873.0900000001</v>
      </c>
      <c r="S93" s="5">
        <v>-5478.6899999999441</v>
      </c>
    </row>
    <row r="94" spans="3:19" x14ac:dyDescent="0.25">
      <c r="C94" s="1">
        <v>45846</v>
      </c>
      <c r="D94" s="2" t="s">
        <v>21</v>
      </c>
      <c r="E94">
        <v>1288</v>
      </c>
      <c r="F94">
        <v>23.81</v>
      </c>
      <c r="G94">
        <v>23.92</v>
      </c>
      <c r="H94">
        <v>23.5</v>
      </c>
      <c r="I94">
        <v>23.84</v>
      </c>
      <c r="J94">
        <v>3128152</v>
      </c>
      <c r="K94">
        <v>30705.919999999998</v>
      </c>
      <c r="L94">
        <f t="shared" si="2"/>
        <v>912113.56</v>
      </c>
      <c r="M94">
        <f>+IF(DailyData[[#This Row],[Column1]]&gt;0,DailyData[[#This Row],[Column1]]-L81,0)</f>
        <v>-507.31999999994878</v>
      </c>
      <c r="N94" s="1">
        <f>+IF(DailyData[[#This Row],[Column2]]=0,0,DailyData[[#This Row],[Date]])</f>
        <v>45846</v>
      </c>
      <c r="Q94" s="8">
        <v>45965</v>
      </c>
      <c r="R94" s="6">
        <v>1074973.3799999999</v>
      </c>
      <c r="S94" s="6">
        <v>-15899.710000000196</v>
      </c>
    </row>
    <row r="95" spans="3:19" x14ac:dyDescent="0.25">
      <c r="C95" s="1">
        <v>45847</v>
      </c>
      <c r="D95" s="2" t="s">
        <v>9</v>
      </c>
      <c r="E95">
        <v>153181</v>
      </c>
      <c r="F95">
        <v>0.7</v>
      </c>
      <c r="G95">
        <v>0.71</v>
      </c>
      <c r="H95">
        <v>0.68500000000000005</v>
      </c>
      <c r="I95">
        <v>0.7</v>
      </c>
      <c r="J95">
        <v>2159278</v>
      </c>
      <c r="K95">
        <v>107226.7</v>
      </c>
      <c r="L95">
        <f t="shared" si="2"/>
        <v>0</v>
      </c>
      <c r="M95">
        <f>+IF(DailyData[[#This Row],[Column1]]&gt;0,DailyData[[#This Row],[Column1]]-L82,0)</f>
        <v>0</v>
      </c>
      <c r="N95" s="1">
        <f>+IF(DailyData[[#This Row],[Column2]]=0,0,DailyData[[#This Row],[Date]])</f>
        <v>0</v>
      </c>
    </row>
    <row r="96" spans="3:19" x14ac:dyDescent="0.25">
      <c r="C96" s="1">
        <v>45847</v>
      </c>
      <c r="D96" s="2" t="s">
        <v>10</v>
      </c>
      <c r="E96">
        <v>70000</v>
      </c>
      <c r="F96">
        <v>1.4450000000000001</v>
      </c>
      <c r="G96">
        <v>1.46</v>
      </c>
      <c r="H96">
        <v>1.43</v>
      </c>
      <c r="I96">
        <v>1.4550000000000001</v>
      </c>
      <c r="J96">
        <v>9721405</v>
      </c>
      <c r="K96">
        <v>101850</v>
      </c>
      <c r="L96">
        <f t="shared" si="2"/>
        <v>0</v>
      </c>
      <c r="M96">
        <f>+IF(DailyData[[#This Row],[Column1]]&gt;0,DailyData[[#This Row],[Column1]]-L83,0)</f>
        <v>0</v>
      </c>
      <c r="N96" s="1">
        <f>+IF(DailyData[[#This Row],[Column2]]=0,0,DailyData[[#This Row],[Date]])</f>
        <v>0</v>
      </c>
    </row>
    <row r="97" spans="3:14" x14ac:dyDescent="0.25">
      <c r="C97" s="1">
        <v>45847</v>
      </c>
      <c r="D97" s="2" t="s">
        <v>11</v>
      </c>
      <c r="E97">
        <v>57458</v>
      </c>
      <c r="F97">
        <v>0.56499999999999995</v>
      </c>
      <c r="G97">
        <v>0.56999999999999995</v>
      </c>
      <c r="H97">
        <v>0.55500000000000005</v>
      </c>
      <c r="I97">
        <v>0.55500000000000005</v>
      </c>
      <c r="J97">
        <v>59150</v>
      </c>
      <c r="K97">
        <v>31889.19</v>
      </c>
      <c r="L97">
        <f t="shared" si="2"/>
        <v>0</v>
      </c>
      <c r="M97">
        <f>+IF(DailyData[[#This Row],[Column1]]&gt;0,DailyData[[#This Row],[Column1]]-L84,0)</f>
        <v>0</v>
      </c>
      <c r="N97" s="1">
        <f>+IF(DailyData[[#This Row],[Column2]]=0,0,DailyData[[#This Row],[Date]])</f>
        <v>0</v>
      </c>
    </row>
    <row r="98" spans="3:14" x14ac:dyDescent="0.25">
      <c r="C98" s="1">
        <v>45847</v>
      </c>
      <c r="D98" s="2" t="s">
        <v>12</v>
      </c>
      <c r="E98">
        <v>16361</v>
      </c>
      <c r="F98">
        <v>38.299999999999997</v>
      </c>
      <c r="G98">
        <v>38.445</v>
      </c>
      <c r="H98">
        <v>37.85</v>
      </c>
      <c r="I98">
        <v>37.85</v>
      </c>
      <c r="J98">
        <v>5880672</v>
      </c>
      <c r="K98">
        <v>619263.82999999996</v>
      </c>
      <c r="L98">
        <f t="shared" si="2"/>
        <v>0</v>
      </c>
      <c r="M98">
        <f>+IF(DailyData[[#This Row],[Column1]]&gt;0,DailyData[[#This Row],[Column1]]-L85,0)</f>
        <v>0</v>
      </c>
      <c r="N98" s="1">
        <f>+IF(DailyData[[#This Row],[Column2]]=0,0,DailyData[[#This Row],[Date]])</f>
        <v>0</v>
      </c>
    </row>
    <row r="99" spans="3:14" x14ac:dyDescent="0.25">
      <c r="C99" s="1">
        <v>45847</v>
      </c>
      <c r="D99" s="2" t="s">
        <v>13</v>
      </c>
      <c r="E99">
        <v>44090</v>
      </c>
      <c r="F99">
        <v>1.4999999999999999E-2</v>
      </c>
      <c r="G99">
        <v>1.7999999999999999E-2</v>
      </c>
      <c r="H99">
        <v>1.4999999999999999E-2</v>
      </c>
      <c r="I99">
        <v>1.6E-2</v>
      </c>
      <c r="J99">
        <v>1508165</v>
      </c>
      <c r="K99">
        <v>705.44</v>
      </c>
      <c r="L99">
        <f t="shared" si="2"/>
        <v>0</v>
      </c>
      <c r="M99">
        <f>+IF(DailyData[[#This Row],[Column1]]&gt;0,DailyData[[#This Row],[Column1]]-L86,0)</f>
        <v>0</v>
      </c>
      <c r="N99" s="1">
        <f>+IF(DailyData[[#This Row],[Column2]]=0,0,DailyData[[#This Row],[Date]])</f>
        <v>0</v>
      </c>
    </row>
    <row r="100" spans="3:14" x14ac:dyDescent="0.25">
      <c r="C100" s="1">
        <v>45847</v>
      </c>
      <c r="D100" s="2" t="s">
        <v>14</v>
      </c>
      <c r="E100">
        <v>0</v>
      </c>
      <c r="F100">
        <v>178.3</v>
      </c>
      <c r="G100">
        <v>180</v>
      </c>
      <c r="H100">
        <v>177.03</v>
      </c>
      <c r="I100">
        <v>178.9</v>
      </c>
      <c r="J100">
        <v>1361633</v>
      </c>
      <c r="K100">
        <v>0</v>
      </c>
      <c r="L100">
        <f t="shared" si="2"/>
        <v>0</v>
      </c>
      <c r="M100">
        <f>+IF(DailyData[[#This Row],[Column1]]&gt;0,DailyData[[#This Row],[Column1]]-L87,0)</f>
        <v>0</v>
      </c>
      <c r="N100" s="1">
        <f>+IF(DailyData[[#This Row],[Column2]]=0,0,DailyData[[#This Row],[Date]])</f>
        <v>0</v>
      </c>
    </row>
    <row r="101" spans="3:14" x14ac:dyDescent="0.25">
      <c r="C101" s="1">
        <v>45847</v>
      </c>
      <c r="D101" s="2" t="s">
        <v>15</v>
      </c>
      <c r="E101">
        <v>10000</v>
      </c>
      <c r="F101">
        <v>0.45</v>
      </c>
      <c r="G101">
        <v>0.45</v>
      </c>
      <c r="H101">
        <v>0.42</v>
      </c>
      <c r="I101">
        <v>0.42499999999999999</v>
      </c>
      <c r="J101">
        <v>351990</v>
      </c>
      <c r="K101">
        <v>4250</v>
      </c>
      <c r="L101">
        <f t="shared" si="2"/>
        <v>0</v>
      </c>
      <c r="M101">
        <f>+IF(DailyData[[#This Row],[Column1]]&gt;0,DailyData[[#This Row],[Column1]]-L88,0)</f>
        <v>0</v>
      </c>
      <c r="N101" s="1">
        <f>+IF(DailyData[[#This Row],[Column2]]=0,0,DailyData[[#This Row],[Date]])</f>
        <v>0</v>
      </c>
    </row>
    <row r="102" spans="3:14" x14ac:dyDescent="0.25">
      <c r="C102" s="1">
        <v>45847</v>
      </c>
      <c r="D102" s="2" t="s">
        <v>16</v>
      </c>
      <c r="E102">
        <v>20000</v>
      </c>
      <c r="F102">
        <v>0.21</v>
      </c>
      <c r="G102">
        <v>0.23</v>
      </c>
      <c r="H102">
        <v>0.21</v>
      </c>
      <c r="I102">
        <v>0.23</v>
      </c>
      <c r="J102">
        <v>58132</v>
      </c>
      <c r="K102">
        <v>4600</v>
      </c>
      <c r="L102">
        <f t="shared" si="2"/>
        <v>0</v>
      </c>
      <c r="M102">
        <f>+IF(DailyData[[#This Row],[Column1]]&gt;0,DailyData[[#This Row],[Column1]]-L89,0)</f>
        <v>0</v>
      </c>
      <c r="N102" s="1">
        <f>+IF(DailyData[[#This Row],[Column2]]=0,0,DailyData[[#This Row],[Date]])</f>
        <v>0</v>
      </c>
    </row>
    <row r="103" spans="3:14" x14ac:dyDescent="0.25">
      <c r="C103" s="1">
        <v>45847</v>
      </c>
      <c r="D103" s="2" t="s">
        <v>17</v>
      </c>
      <c r="E103">
        <v>700000</v>
      </c>
      <c r="F103">
        <v>2E-3</v>
      </c>
      <c r="G103">
        <v>3.0000000000000001E-3</v>
      </c>
      <c r="H103">
        <v>2E-3</v>
      </c>
      <c r="I103">
        <v>3.0000000000000001E-3</v>
      </c>
      <c r="J103">
        <v>1458162</v>
      </c>
      <c r="K103">
        <v>2100</v>
      </c>
      <c r="L103">
        <f t="shared" si="2"/>
        <v>0</v>
      </c>
      <c r="M103">
        <f>+IF(DailyData[[#This Row],[Column1]]&gt;0,DailyData[[#This Row],[Column1]]-L90,0)</f>
        <v>0</v>
      </c>
      <c r="N103" s="1">
        <f>+IF(DailyData[[#This Row],[Column2]]=0,0,DailyData[[#This Row],[Date]])</f>
        <v>0</v>
      </c>
    </row>
    <row r="104" spans="3:14" x14ac:dyDescent="0.25">
      <c r="C104" s="1">
        <v>45847</v>
      </c>
      <c r="D104" s="2" t="s">
        <v>18</v>
      </c>
      <c r="E104">
        <v>9412</v>
      </c>
      <c r="F104">
        <v>0.36499999999999999</v>
      </c>
      <c r="G104">
        <v>0.36499999999999999</v>
      </c>
      <c r="H104">
        <v>0.32500000000000001</v>
      </c>
      <c r="I104">
        <v>0.34</v>
      </c>
      <c r="J104">
        <v>1111484</v>
      </c>
      <c r="K104">
        <v>3200.08</v>
      </c>
      <c r="L104">
        <f t="shared" si="2"/>
        <v>0</v>
      </c>
      <c r="M104">
        <f>+IF(DailyData[[#This Row],[Column1]]&gt;0,DailyData[[#This Row],[Column1]]-L91,0)</f>
        <v>0</v>
      </c>
      <c r="N104" s="1">
        <f>+IF(DailyData[[#This Row],[Column2]]=0,0,DailyData[[#This Row],[Date]])</f>
        <v>0</v>
      </c>
    </row>
    <row r="105" spans="3:14" x14ac:dyDescent="0.25">
      <c r="C105" s="1">
        <v>45847</v>
      </c>
      <c r="D105" s="2" t="s">
        <v>19</v>
      </c>
      <c r="E105">
        <v>6000</v>
      </c>
      <c r="F105">
        <v>8.7999999999999995E-2</v>
      </c>
      <c r="G105">
        <v>0.11</v>
      </c>
      <c r="H105">
        <v>8.5000000000000006E-2</v>
      </c>
      <c r="I105">
        <v>0.11</v>
      </c>
      <c r="J105">
        <v>234431</v>
      </c>
      <c r="K105">
        <v>660</v>
      </c>
      <c r="L105">
        <f t="shared" si="2"/>
        <v>0</v>
      </c>
      <c r="M105">
        <f>+IF(DailyData[[#This Row],[Column1]]&gt;0,DailyData[[#This Row],[Column1]]-L92,0)</f>
        <v>0</v>
      </c>
      <c r="N105" s="1">
        <f>+IF(DailyData[[#This Row],[Column2]]=0,0,DailyData[[#This Row],[Date]])</f>
        <v>0</v>
      </c>
    </row>
    <row r="106" spans="3:14" x14ac:dyDescent="0.25">
      <c r="C106" s="1">
        <v>45847</v>
      </c>
      <c r="D106" s="2" t="s">
        <v>20</v>
      </c>
      <c r="E106">
        <v>0</v>
      </c>
      <c r="F106">
        <v>33.4</v>
      </c>
      <c r="G106">
        <v>33.89</v>
      </c>
      <c r="H106">
        <v>33.22</v>
      </c>
      <c r="I106">
        <v>33.700000000000003</v>
      </c>
      <c r="J106">
        <v>4247989</v>
      </c>
      <c r="K106">
        <v>0</v>
      </c>
      <c r="L106">
        <f t="shared" si="2"/>
        <v>0</v>
      </c>
      <c r="M106">
        <f>+IF(DailyData[[#This Row],[Column1]]&gt;0,DailyData[[#This Row],[Column1]]-L93,0)</f>
        <v>0</v>
      </c>
      <c r="N106" s="1">
        <f>+IF(DailyData[[#This Row],[Column2]]=0,0,DailyData[[#This Row],[Date]])</f>
        <v>0</v>
      </c>
    </row>
    <row r="107" spans="3:14" x14ac:dyDescent="0.25">
      <c r="C107" s="1">
        <v>45847</v>
      </c>
      <c r="D107" s="2" t="s">
        <v>21</v>
      </c>
      <c r="E107">
        <v>1288</v>
      </c>
      <c r="F107">
        <v>24.3</v>
      </c>
      <c r="G107">
        <v>24.3</v>
      </c>
      <c r="H107">
        <v>23.97</v>
      </c>
      <c r="I107">
        <v>24</v>
      </c>
      <c r="J107">
        <v>4794355</v>
      </c>
      <c r="K107">
        <v>30912</v>
      </c>
      <c r="L107">
        <f t="shared" si="2"/>
        <v>906657.23999999987</v>
      </c>
      <c r="M107">
        <f>+IF(DailyData[[#This Row],[Column1]]&gt;0,DailyData[[#This Row],[Column1]]-L94,0)</f>
        <v>-5456.3200000001816</v>
      </c>
      <c r="N107" s="1">
        <f>+IF(DailyData[[#This Row],[Column2]]=0,0,DailyData[[#This Row],[Date]])</f>
        <v>45847</v>
      </c>
    </row>
    <row r="108" spans="3:14" x14ac:dyDescent="0.25">
      <c r="C108" s="1">
        <v>45848</v>
      </c>
      <c r="D108" s="2" t="s">
        <v>9</v>
      </c>
      <c r="E108">
        <v>153181</v>
      </c>
      <c r="F108">
        <v>0.7</v>
      </c>
      <c r="G108">
        <v>0.7</v>
      </c>
      <c r="H108">
        <v>0.66500000000000004</v>
      </c>
      <c r="I108">
        <v>0.67</v>
      </c>
      <c r="J108">
        <v>1547470</v>
      </c>
      <c r="K108">
        <v>102631.27</v>
      </c>
      <c r="L108">
        <f t="shared" si="2"/>
        <v>0</v>
      </c>
      <c r="M108">
        <f>+IF(DailyData[[#This Row],[Column1]]&gt;0,DailyData[[#This Row],[Column1]]-L95,0)</f>
        <v>0</v>
      </c>
      <c r="N108" s="1">
        <f>+IF(DailyData[[#This Row],[Column2]]=0,0,DailyData[[#This Row],[Date]])</f>
        <v>0</v>
      </c>
    </row>
    <row r="109" spans="3:14" x14ac:dyDescent="0.25">
      <c r="C109" s="1">
        <v>45848</v>
      </c>
      <c r="D109" s="2" t="s">
        <v>10</v>
      </c>
      <c r="E109">
        <v>70000</v>
      </c>
      <c r="F109">
        <v>1.4650000000000001</v>
      </c>
      <c r="G109">
        <v>1.48</v>
      </c>
      <c r="H109">
        <v>1.4450000000000001</v>
      </c>
      <c r="I109">
        <v>1.46</v>
      </c>
      <c r="J109">
        <v>8015012</v>
      </c>
      <c r="K109">
        <v>102200</v>
      </c>
      <c r="L109">
        <f t="shared" si="2"/>
        <v>0</v>
      </c>
      <c r="M109">
        <f>+IF(DailyData[[#This Row],[Column1]]&gt;0,DailyData[[#This Row],[Column1]]-L96,0)</f>
        <v>0</v>
      </c>
      <c r="N109" s="1">
        <f>+IF(DailyData[[#This Row],[Column2]]=0,0,DailyData[[#This Row],[Date]])</f>
        <v>0</v>
      </c>
    </row>
    <row r="110" spans="3:14" x14ac:dyDescent="0.25">
      <c r="C110" s="1">
        <v>45848</v>
      </c>
      <c r="D110" s="2" t="s">
        <v>11</v>
      </c>
      <c r="E110">
        <v>57458</v>
      </c>
      <c r="F110">
        <v>0.56999999999999995</v>
      </c>
      <c r="G110">
        <v>0.56999999999999995</v>
      </c>
      <c r="H110">
        <v>0.53</v>
      </c>
      <c r="I110">
        <v>0.53500000000000003</v>
      </c>
      <c r="J110">
        <v>173828</v>
      </c>
      <c r="K110">
        <v>30740.03</v>
      </c>
      <c r="L110">
        <f t="shared" si="2"/>
        <v>0</v>
      </c>
      <c r="M110">
        <f>+IF(DailyData[[#This Row],[Column1]]&gt;0,DailyData[[#This Row],[Column1]]-L97,0)</f>
        <v>0</v>
      </c>
      <c r="N110" s="1">
        <f>+IF(DailyData[[#This Row],[Column2]]=0,0,DailyData[[#This Row],[Date]])</f>
        <v>0</v>
      </c>
    </row>
    <row r="111" spans="3:14" x14ac:dyDescent="0.25">
      <c r="C111" s="1">
        <v>45848</v>
      </c>
      <c r="D111" s="2" t="s">
        <v>12</v>
      </c>
      <c r="E111">
        <v>16361</v>
      </c>
      <c r="F111">
        <v>37.880000000000003</v>
      </c>
      <c r="G111">
        <v>38.36</v>
      </c>
      <c r="H111">
        <v>37.74</v>
      </c>
      <c r="I111">
        <v>38.299999999999997</v>
      </c>
      <c r="J111">
        <v>4923915</v>
      </c>
      <c r="K111">
        <v>626626.29</v>
      </c>
      <c r="L111">
        <f t="shared" si="2"/>
        <v>0</v>
      </c>
      <c r="M111">
        <f>+IF(DailyData[[#This Row],[Column1]]&gt;0,DailyData[[#This Row],[Column1]]-L98,0)</f>
        <v>0</v>
      </c>
      <c r="N111" s="1">
        <f>+IF(DailyData[[#This Row],[Column2]]=0,0,DailyData[[#This Row],[Date]])</f>
        <v>0</v>
      </c>
    </row>
    <row r="112" spans="3:14" x14ac:dyDescent="0.25">
      <c r="C112" s="1">
        <v>45848</v>
      </c>
      <c r="D112" s="2" t="s">
        <v>13</v>
      </c>
      <c r="E112">
        <v>44090</v>
      </c>
      <c r="F112">
        <v>1.7000000000000001E-2</v>
      </c>
      <c r="G112">
        <v>1.7000000000000001E-2</v>
      </c>
      <c r="H112">
        <v>1.4E-2</v>
      </c>
      <c r="I112">
        <v>1.4E-2</v>
      </c>
      <c r="J112">
        <v>1483416</v>
      </c>
      <c r="K112">
        <v>617.26</v>
      </c>
      <c r="L112">
        <f t="shared" si="2"/>
        <v>0</v>
      </c>
      <c r="M112">
        <f>+IF(DailyData[[#This Row],[Column1]]&gt;0,DailyData[[#This Row],[Column1]]-L99,0)</f>
        <v>0</v>
      </c>
      <c r="N112" s="1">
        <f>+IF(DailyData[[#This Row],[Column2]]=0,0,DailyData[[#This Row],[Date]])</f>
        <v>0</v>
      </c>
    </row>
    <row r="113" spans="3:14" x14ac:dyDescent="0.25">
      <c r="C113" s="1">
        <v>45848</v>
      </c>
      <c r="D113" s="2" t="s">
        <v>14</v>
      </c>
      <c r="E113">
        <v>0</v>
      </c>
      <c r="F113">
        <v>179.48</v>
      </c>
      <c r="G113">
        <v>181.59</v>
      </c>
      <c r="H113">
        <v>179</v>
      </c>
      <c r="I113">
        <v>180.37</v>
      </c>
      <c r="J113">
        <v>1506974</v>
      </c>
      <c r="K113">
        <v>0</v>
      </c>
      <c r="L113">
        <f t="shared" si="2"/>
        <v>0</v>
      </c>
      <c r="M113">
        <f>+IF(DailyData[[#This Row],[Column1]]&gt;0,DailyData[[#This Row],[Column1]]-L100,0)</f>
        <v>0</v>
      </c>
      <c r="N113" s="1">
        <f>+IF(DailyData[[#This Row],[Column2]]=0,0,DailyData[[#This Row],[Date]])</f>
        <v>0</v>
      </c>
    </row>
    <row r="114" spans="3:14" x14ac:dyDescent="0.25">
      <c r="C114" s="1">
        <v>45848</v>
      </c>
      <c r="D114" s="2" t="s">
        <v>15</v>
      </c>
      <c r="E114">
        <v>10000</v>
      </c>
      <c r="F114">
        <v>0.43</v>
      </c>
      <c r="G114">
        <v>0.44</v>
      </c>
      <c r="H114">
        <v>0.41499999999999998</v>
      </c>
      <c r="I114">
        <v>0.44</v>
      </c>
      <c r="J114">
        <v>200874</v>
      </c>
      <c r="K114">
        <v>4400</v>
      </c>
      <c r="L114">
        <f t="shared" si="2"/>
        <v>0</v>
      </c>
      <c r="M114">
        <f>+IF(DailyData[[#This Row],[Column1]]&gt;0,DailyData[[#This Row],[Column1]]-L101,0)</f>
        <v>0</v>
      </c>
      <c r="N114" s="1">
        <f>+IF(DailyData[[#This Row],[Column2]]=0,0,DailyData[[#This Row],[Date]])</f>
        <v>0</v>
      </c>
    </row>
    <row r="115" spans="3:14" x14ac:dyDescent="0.25">
      <c r="C115" s="1">
        <v>45848</v>
      </c>
      <c r="D115" s="2" t="s">
        <v>16</v>
      </c>
      <c r="E115">
        <v>20000</v>
      </c>
      <c r="F115">
        <v>0.23</v>
      </c>
      <c r="G115">
        <v>0.23</v>
      </c>
      <c r="H115">
        <v>0.215</v>
      </c>
      <c r="I115">
        <v>0.22500000000000001</v>
      </c>
      <c r="J115">
        <v>68318</v>
      </c>
      <c r="K115">
        <v>4500</v>
      </c>
      <c r="L115">
        <f t="shared" si="2"/>
        <v>0</v>
      </c>
      <c r="M115">
        <f>+IF(DailyData[[#This Row],[Column1]]&gt;0,DailyData[[#This Row],[Column1]]-L102,0)</f>
        <v>0</v>
      </c>
      <c r="N115" s="1">
        <f>+IF(DailyData[[#This Row],[Column2]]=0,0,DailyData[[#This Row],[Date]])</f>
        <v>0</v>
      </c>
    </row>
    <row r="116" spans="3:14" x14ac:dyDescent="0.25">
      <c r="C116" s="1">
        <v>45848</v>
      </c>
      <c r="D116" s="2" t="s">
        <v>17</v>
      </c>
      <c r="E116">
        <v>700000</v>
      </c>
      <c r="F116">
        <v>3.0000000000000001E-3</v>
      </c>
      <c r="G116">
        <v>3.0000000000000001E-3</v>
      </c>
      <c r="H116">
        <v>2E-3</v>
      </c>
      <c r="I116">
        <v>2E-3</v>
      </c>
      <c r="J116">
        <v>1192012</v>
      </c>
      <c r="K116">
        <v>1750</v>
      </c>
      <c r="L116">
        <f t="shared" si="2"/>
        <v>0</v>
      </c>
      <c r="M116">
        <f>+IF(DailyData[[#This Row],[Column1]]&gt;0,DailyData[[#This Row],[Column1]]-L103,0)</f>
        <v>0</v>
      </c>
      <c r="N116" s="1">
        <f>+IF(DailyData[[#This Row],[Column2]]=0,0,DailyData[[#This Row],[Date]])</f>
        <v>0</v>
      </c>
    </row>
    <row r="117" spans="3:14" x14ac:dyDescent="0.25">
      <c r="C117" s="1">
        <v>45848</v>
      </c>
      <c r="D117" s="2" t="s">
        <v>18</v>
      </c>
      <c r="E117">
        <v>9412</v>
      </c>
      <c r="F117">
        <v>0.33</v>
      </c>
      <c r="G117">
        <v>0.34</v>
      </c>
      <c r="H117">
        <v>0.32500000000000001</v>
      </c>
      <c r="I117">
        <v>0.32500000000000001</v>
      </c>
      <c r="J117">
        <v>50168</v>
      </c>
      <c r="K117">
        <v>3058.9</v>
      </c>
      <c r="L117">
        <f t="shared" si="2"/>
        <v>0</v>
      </c>
      <c r="M117">
        <f>+IF(DailyData[[#This Row],[Column1]]&gt;0,DailyData[[#This Row],[Column1]]-L104,0)</f>
        <v>0</v>
      </c>
      <c r="N117" s="1">
        <f>+IF(DailyData[[#This Row],[Column2]]=0,0,DailyData[[#This Row],[Date]])</f>
        <v>0</v>
      </c>
    </row>
    <row r="118" spans="3:14" x14ac:dyDescent="0.25">
      <c r="C118" s="1">
        <v>45848</v>
      </c>
      <c r="D118" s="2" t="s">
        <v>19</v>
      </c>
      <c r="E118">
        <v>6000</v>
      </c>
      <c r="F118">
        <v>0.11</v>
      </c>
      <c r="G118">
        <v>0.11</v>
      </c>
      <c r="H118">
        <v>8.5999999999999993E-2</v>
      </c>
      <c r="I118">
        <v>9.4E-2</v>
      </c>
      <c r="J118">
        <v>261129</v>
      </c>
      <c r="K118">
        <v>564</v>
      </c>
      <c r="L118">
        <f t="shared" si="2"/>
        <v>0</v>
      </c>
      <c r="M118">
        <f>+IF(DailyData[[#This Row],[Column1]]&gt;0,DailyData[[#This Row],[Column1]]-L105,0)</f>
        <v>0</v>
      </c>
      <c r="N118" s="1">
        <f>+IF(DailyData[[#This Row],[Column2]]=0,0,DailyData[[#This Row],[Date]])</f>
        <v>0</v>
      </c>
    </row>
    <row r="119" spans="3:14" x14ac:dyDescent="0.25">
      <c r="C119" s="1">
        <v>45848</v>
      </c>
      <c r="D119" s="2" t="s">
        <v>20</v>
      </c>
      <c r="E119">
        <v>0</v>
      </c>
      <c r="F119">
        <v>33.81</v>
      </c>
      <c r="G119">
        <v>34.07</v>
      </c>
      <c r="H119">
        <v>33.75</v>
      </c>
      <c r="I119">
        <v>33.869999999999997</v>
      </c>
      <c r="J119">
        <v>3613116</v>
      </c>
      <c r="K119">
        <v>0</v>
      </c>
      <c r="L119">
        <f t="shared" si="2"/>
        <v>0</v>
      </c>
      <c r="M119">
        <f>+IF(DailyData[[#This Row],[Column1]]&gt;0,DailyData[[#This Row],[Column1]]-L106,0)</f>
        <v>0</v>
      </c>
      <c r="N119" s="1">
        <f>+IF(DailyData[[#This Row],[Column2]]=0,0,DailyData[[#This Row],[Date]])</f>
        <v>0</v>
      </c>
    </row>
    <row r="120" spans="3:14" x14ac:dyDescent="0.25">
      <c r="C120" s="1">
        <v>45848</v>
      </c>
      <c r="D120" s="2" t="s">
        <v>21</v>
      </c>
      <c r="E120">
        <v>1288</v>
      </c>
      <c r="F120">
        <v>24.15</v>
      </c>
      <c r="G120">
        <v>24.17</v>
      </c>
      <c r="H120">
        <v>23.94</v>
      </c>
      <c r="I120">
        <v>24</v>
      </c>
      <c r="J120">
        <v>2493982</v>
      </c>
      <c r="K120">
        <v>30912</v>
      </c>
      <c r="L120">
        <f t="shared" si="2"/>
        <v>907999.75000000012</v>
      </c>
      <c r="M120">
        <f>+IF(DailyData[[#This Row],[Column1]]&gt;0,DailyData[[#This Row],[Column1]]-L107,0)</f>
        <v>1342.5100000002421</v>
      </c>
      <c r="N120" s="1">
        <f>+IF(DailyData[[#This Row],[Column2]]=0,0,DailyData[[#This Row],[Date]])</f>
        <v>45848</v>
      </c>
    </row>
    <row r="121" spans="3:14" x14ac:dyDescent="0.25">
      <c r="C121" s="1">
        <v>45849</v>
      </c>
      <c r="D121" s="2" t="s">
        <v>9</v>
      </c>
      <c r="E121">
        <v>153181</v>
      </c>
      <c r="F121">
        <v>0.68</v>
      </c>
      <c r="G121">
        <v>0.68500000000000005</v>
      </c>
      <c r="H121">
        <v>0.65500000000000003</v>
      </c>
      <c r="I121">
        <v>0.66</v>
      </c>
      <c r="J121">
        <v>1825488</v>
      </c>
      <c r="K121">
        <v>101099.46</v>
      </c>
      <c r="L121">
        <f t="shared" si="2"/>
        <v>0</v>
      </c>
      <c r="M121">
        <f>+IF(DailyData[[#This Row],[Column1]]&gt;0,DailyData[[#This Row],[Column1]]-L108,0)</f>
        <v>0</v>
      </c>
      <c r="N121" s="1">
        <f>+IF(DailyData[[#This Row],[Column2]]=0,0,DailyData[[#This Row],[Date]])</f>
        <v>0</v>
      </c>
    </row>
    <row r="122" spans="3:14" x14ac:dyDescent="0.25">
      <c r="C122" s="1">
        <v>45849</v>
      </c>
      <c r="D122" s="2" t="s">
        <v>10</v>
      </c>
      <c r="E122">
        <v>70000</v>
      </c>
      <c r="F122">
        <v>1.46</v>
      </c>
      <c r="G122">
        <v>1.472</v>
      </c>
      <c r="H122">
        <v>1.4379999999999999</v>
      </c>
      <c r="I122">
        <v>1.46</v>
      </c>
      <c r="J122">
        <v>7917216</v>
      </c>
      <c r="K122">
        <v>102200</v>
      </c>
      <c r="L122">
        <f t="shared" si="2"/>
        <v>0</v>
      </c>
      <c r="M122">
        <f>+IF(DailyData[[#This Row],[Column1]]&gt;0,DailyData[[#This Row],[Column1]]-L109,0)</f>
        <v>0</v>
      </c>
      <c r="N122" s="1">
        <f>+IF(DailyData[[#This Row],[Column2]]=0,0,DailyData[[#This Row],[Date]])</f>
        <v>0</v>
      </c>
    </row>
    <row r="123" spans="3:14" x14ac:dyDescent="0.25">
      <c r="C123" s="1">
        <v>45849</v>
      </c>
      <c r="D123" s="2" t="s">
        <v>11</v>
      </c>
      <c r="E123">
        <v>57458</v>
      </c>
      <c r="F123">
        <v>0.56999999999999995</v>
      </c>
      <c r="G123">
        <v>0.62</v>
      </c>
      <c r="H123">
        <v>0.56499999999999995</v>
      </c>
      <c r="I123">
        <v>0.57999999999999996</v>
      </c>
      <c r="J123">
        <v>888119</v>
      </c>
      <c r="K123">
        <v>33325.64</v>
      </c>
      <c r="L123">
        <f t="shared" si="2"/>
        <v>0</v>
      </c>
      <c r="M123">
        <f>+IF(DailyData[[#This Row],[Column1]]&gt;0,DailyData[[#This Row],[Column1]]-L110,0)</f>
        <v>0</v>
      </c>
      <c r="N123" s="1">
        <f>+IF(DailyData[[#This Row],[Column2]]=0,0,DailyData[[#This Row],[Date]])</f>
        <v>0</v>
      </c>
    </row>
    <row r="124" spans="3:14" x14ac:dyDescent="0.25">
      <c r="C124" s="1">
        <v>45849</v>
      </c>
      <c r="D124" s="2" t="s">
        <v>12</v>
      </c>
      <c r="E124">
        <v>16361</v>
      </c>
      <c r="F124">
        <v>39.270000000000003</v>
      </c>
      <c r="G124">
        <v>39.64</v>
      </c>
      <c r="H124">
        <v>39.22</v>
      </c>
      <c r="I124">
        <v>39.36</v>
      </c>
      <c r="J124">
        <v>9460902</v>
      </c>
      <c r="K124">
        <v>643968.97</v>
      </c>
      <c r="L124">
        <f t="shared" si="2"/>
        <v>0</v>
      </c>
      <c r="M124">
        <f>+IF(DailyData[[#This Row],[Column1]]&gt;0,DailyData[[#This Row],[Column1]]-L111,0)</f>
        <v>0</v>
      </c>
      <c r="N124" s="1">
        <f>+IF(DailyData[[#This Row],[Column2]]=0,0,DailyData[[#This Row],[Date]])</f>
        <v>0</v>
      </c>
    </row>
    <row r="125" spans="3:14" x14ac:dyDescent="0.25">
      <c r="C125" s="1">
        <v>45849</v>
      </c>
      <c r="D125" s="2" t="s">
        <v>13</v>
      </c>
      <c r="E125">
        <v>44090</v>
      </c>
      <c r="F125">
        <v>1.4999999999999999E-2</v>
      </c>
      <c r="G125">
        <v>1.7000000000000001E-2</v>
      </c>
      <c r="H125">
        <v>1.4E-2</v>
      </c>
      <c r="I125">
        <v>1.6E-2</v>
      </c>
      <c r="J125">
        <v>2388646</v>
      </c>
      <c r="K125">
        <v>705.44</v>
      </c>
      <c r="L125">
        <f t="shared" si="2"/>
        <v>0</v>
      </c>
      <c r="M125">
        <f>+IF(DailyData[[#This Row],[Column1]]&gt;0,DailyData[[#This Row],[Column1]]-L112,0)</f>
        <v>0</v>
      </c>
      <c r="N125" s="1">
        <f>+IF(DailyData[[#This Row],[Column2]]=0,0,DailyData[[#This Row],[Date]])</f>
        <v>0</v>
      </c>
    </row>
    <row r="126" spans="3:14" x14ac:dyDescent="0.25">
      <c r="C126" s="1">
        <v>45849</v>
      </c>
      <c r="D126" s="2" t="s">
        <v>14</v>
      </c>
      <c r="E126">
        <v>0</v>
      </c>
      <c r="F126">
        <v>180.57</v>
      </c>
      <c r="G126">
        <v>180.74</v>
      </c>
      <c r="H126">
        <v>178.41</v>
      </c>
      <c r="I126">
        <v>179.42</v>
      </c>
      <c r="J126">
        <v>1396922</v>
      </c>
      <c r="K126">
        <v>0</v>
      </c>
      <c r="L126">
        <f t="shared" si="2"/>
        <v>0</v>
      </c>
      <c r="M126">
        <f>+IF(DailyData[[#This Row],[Column1]]&gt;0,DailyData[[#This Row],[Column1]]-L113,0)</f>
        <v>0</v>
      </c>
      <c r="N126" s="1">
        <f>+IF(DailyData[[#This Row],[Column2]]=0,0,DailyData[[#This Row],[Date]])</f>
        <v>0</v>
      </c>
    </row>
    <row r="127" spans="3:14" x14ac:dyDescent="0.25">
      <c r="C127" s="1">
        <v>45849</v>
      </c>
      <c r="D127" s="2" t="s">
        <v>15</v>
      </c>
      <c r="E127">
        <v>10000</v>
      </c>
      <c r="F127">
        <v>0.44</v>
      </c>
      <c r="G127">
        <v>0.46</v>
      </c>
      <c r="H127">
        <v>0.44</v>
      </c>
      <c r="I127">
        <v>0.45500000000000002</v>
      </c>
      <c r="J127">
        <v>341485</v>
      </c>
      <c r="K127">
        <v>4550</v>
      </c>
      <c r="L127">
        <f t="shared" si="2"/>
        <v>0</v>
      </c>
      <c r="M127">
        <f>+IF(DailyData[[#This Row],[Column1]]&gt;0,DailyData[[#This Row],[Column1]]-L114,0)</f>
        <v>0</v>
      </c>
      <c r="N127" s="1">
        <f>+IF(DailyData[[#This Row],[Column2]]=0,0,DailyData[[#This Row],[Date]])</f>
        <v>0</v>
      </c>
    </row>
    <row r="128" spans="3:14" x14ac:dyDescent="0.25">
      <c r="C128" s="1">
        <v>45849</v>
      </c>
      <c r="D128" s="2" t="s">
        <v>16</v>
      </c>
      <c r="E128">
        <v>20000</v>
      </c>
      <c r="F128">
        <v>0.23</v>
      </c>
      <c r="G128">
        <v>0.23</v>
      </c>
      <c r="H128">
        <v>0.22</v>
      </c>
      <c r="I128">
        <v>0.22500000000000001</v>
      </c>
      <c r="J128">
        <v>177356</v>
      </c>
      <c r="K128">
        <v>4500</v>
      </c>
      <c r="L128">
        <f t="shared" si="2"/>
        <v>0</v>
      </c>
      <c r="M128">
        <f>+IF(DailyData[[#This Row],[Column1]]&gt;0,DailyData[[#This Row],[Column1]]-L115,0)</f>
        <v>0</v>
      </c>
      <c r="N128" s="1">
        <f>+IF(DailyData[[#This Row],[Column2]]=0,0,DailyData[[#This Row],[Date]])</f>
        <v>0</v>
      </c>
    </row>
    <row r="129" spans="3:14" x14ac:dyDescent="0.25">
      <c r="C129" s="1">
        <v>45849</v>
      </c>
      <c r="D129" s="2" t="s">
        <v>17</v>
      </c>
      <c r="E129">
        <v>700000</v>
      </c>
      <c r="F129">
        <v>2E-3</v>
      </c>
      <c r="G129">
        <v>3.0000000000000001E-3</v>
      </c>
      <c r="H129">
        <v>2E-3</v>
      </c>
      <c r="I129">
        <v>2E-3</v>
      </c>
      <c r="J129">
        <v>705334</v>
      </c>
      <c r="K129">
        <v>1750</v>
      </c>
      <c r="L129">
        <f t="shared" si="2"/>
        <v>0</v>
      </c>
      <c r="M129">
        <f>+IF(DailyData[[#This Row],[Column1]]&gt;0,DailyData[[#This Row],[Column1]]-L116,0)</f>
        <v>0</v>
      </c>
      <c r="N129" s="1">
        <f>+IF(DailyData[[#This Row],[Column2]]=0,0,DailyData[[#This Row],[Date]])</f>
        <v>0</v>
      </c>
    </row>
    <row r="130" spans="3:14" x14ac:dyDescent="0.25">
      <c r="C130" s="1">
        <v>45849</v>
      </c>
      <c r="D130" s="2" t="s">
        <v>18</v>
      </c>
      <c r="E130">
        <v>9412</v>
      </c>
      <c r="F130">
        <v>0.33</v>
      </c>
      <c r="G130">
        <v>0.35</v>
      </c>
      <c r="H130">
        <v>0.32</v>
      </c>
      <c r="I130">
        <v>0.32</v>
      </c>
      <c r="J130">
        <v>332845</v>
      </c>
      <c r="K130">
        <v>3011.84</v>
      </c>
      <c r="L130">
        <f t="shared" si="2"/>
        <v>0</v>
      </c>
      <c r="M130">
        <f>+IF(DailyData[[#This Row],[Column1]]&gt;0,DailyData[[#This Row],[Column1]]-L117,0)</f>
        <v>0</v>
      </c>
      <c r="N130" s="1">
        <f>+IF(DailyData[[#This Row],[Column2]]=0,0,DailyData[[#This Row],[Date]])</f>
        <v>0</v>
      </c>
    </row>
    <row r="131" spans="3:14" x14ac:dyDescent="0.25">
      <c r="C131" s="1">
        <v>45849</v>
      </c>
      <c r="D131" s="2" t="s">
        <v>19</v>
      </c>
      <c r="E131">
        <v>6000</v>
      </c>
      <c r="F131">
        <v>9.4E-2</v>
      </c>
      <c r="G131">
        <v>9.7000000000000003E-2</v>
      </c>
      <c r="H131">
        <v>0.09</v>
      </c>
      <c r="I131">
        <v>9.5000000000000001E-2</v>
      </c>
      <c r="J131">
        <v>158767</v>
      </c>
      <c r="K131">
        <v>570</v>
      </c>
      <c r="L131">
        <f t="shared" si="2"/>
        <v>0</v>
      </c>
      <c r="M131">
        <f>+IF(DailyData[[#This Row],[Column1]]&gt;0,DailyData[[#This Row],[Column1]]-L118,0)</f>
        <v>0</v>
      </c>
      <c r="N131" s="1">
        <f>+IF(DailyData[[#This Row],[Column2]]=0,0,DailyData[[#This Row],[Date]])</f>
        <v>0</v>
      </c>
    </row>
    <row r="132" spans="3:14" x14ac:dyDescent="0.25">
      <c r="C132" s="1">
        <v>45849</v>
      </c>
      <c r="D132" s="2" t="s">
        <v>20</v>
      </c>
      <c r="E132">
        <v>0</v>
      </c>
      <c r="F132">
        <v>33.76</v>
      </c>
      <c r="G132">
        <v>33.9</v>
      </c>
      <c r="H132">
        <v>33.58</v>
      </c>
      <c r="I132">
        <v>33.81</v>
      </c>
      <c r="J132">
        <v>4022898</v>
      </c>
      <c r="K132">
        <v>0</v>
      </c>
      <c r="L132">
        <f t="shared" si="2"/>
        <v>0</v>
      </c>
      <c r="M132">
        <f>+IF(DailyData[[#This Row],[Column1]]&gt;0,DailyData[[#This Row],[Column1]]-L119,0)</f>
        <v>0</v>
      </c>
      <c r="N132" s="1">
        <f>+IF(DailyData[[#This Row],[Column2]]=0,0,DailyData[[#This Row],[Date]])</f>
        <v>0</v>
      </c>
    </row>
    <row r="133" spans="3:14" x14ac:dyDescent="0.25">
      <c r="C133" s="1">
        <v>45849</v>
      </c>
      <c r="D133" s="2" t="s">
        <v>21</v>
      </c>
      <c r="E133">
        <v>1288</v>
      </c>
      <c r="F133">
        <v>23.97</v>
      </c>
      <c r="G133">
        <v>24.05</v>
      </c>
      <c r="H133">
        <v>23.86</v>
      </c>
      <c r="I133">
        <v>23.97</v>
      </c>
      <c r="J133">
        <v>2576780</v>
      </c>
      <c r="K133">
        <v>30873.360000000001</v>
      </c>
      <c r="L133">
        <f t="shared" si="2"/>
        <v>926554.71</v>
      </c>
      <c r="M133">
        <f>+IF(DailyData[[#This Row],[Column1]]&gt;0,DailyData[[#This Row],[Column1]]-L120,0)</f>
        <v>18554.959999999846</v>
      </c>
      <c r="N133" s="1">
        <f>+IF(DailyData[[#This Row],[Column2]]=0,0,DailyData[[#This Row],[Date]])</f>
        <v>45849</v>
      </c>
    </row>
    <row r="134" spans="3:14" x14ac:dyDescent="0.25">
      <c r="C134" s="1">
        <v>45852</v>
      </c>
      <c r="D134" s="2" t="s">
        <v>9</v>
      </c>
      <c r="E134">
        <v>153181</v>
      </c>
      <c r="F134">
        <v>0.66</v>
      </c>
      <c r="G134">
        <v>0.69499999999999995</v>
      </c>
      <c r="H134">
        <v>0.65500000000000003</v>
      </c>
      <c r="I134">
        <v>0.68</v>
      </c>
      <c r="J134">
        <v>1447956</v>
      </c>
      <c r="K134">
        <v>104163.08</v>
      </c>
      <c r="L134">
        <f t="shared" si="2"/>
        <v>0</v>
      </c>
      <c r="M134">
        <f>+IF(DailyData[[#This Row],[Column1]]&gt;0,DailyData[[#This Row],[Column1]]-L121,0)</f>
        <v>0</v>
      </c>
      <c r="N134" s="1">
        <f>+IF(DailyData[[#This Row],[Column2]]=0,0,DailyData[[#This Row],[Date]])</f>
        <v>0</v>
      </c>
    </row>
    <row r="135" spans="3:14" x14ac:dyDescent="0.25">
      <c r="C135" s="1">
        <v>45852</v>
      </c>
      <c r="D135" s="2" t="s">
        <v>10</v>
      </c>
      <c r="E135">
        <v>70000</v>
      </c>
      <c r="F135">
        <v>1.46</v>
      </c>
      <c r="G135">
        <v>1.49</v>
      </c>
      <c r="H135">
        <v>1.4450000000000001</v>
      </c>
      <c r="I135">
        <v>1.48</v>
      </c>
      <c r="J135">
        <v>5299282</v>
      </c>
      <c r="K135">
        <v>103600</v>
      </c>
      <c r="L135">
        <f t="shared" si="2"/>
        <v>0</v>
      </c>
      <c r="M135">
        <f>+IF(DailyData[[#This Row],[Column1]]&gt;0,DailyData[[#This Row],[Column1]]-L122,0)</f>
        <v>0</v>
      </c>
      <c r="N135" s="1">
        <f>+IF(DailyData[[#This Row],[Column2]]=0,0,DailyData[[#This Row],[Date]])</f>
        <v>0</v>
      </c>
    </row>
    <row r="136" spans="3:14" x14ac:dyDescent="0.25">
      <c r="C136" s="1">
        <v>45852</v>
      </c>
      <c r="D136" s="2" t="s">
        <v>11</v>
      </c>
      <c r="E136">
        <v>57458</v>
      </c>
      <c r="F136">
        <v>0.59</v>
      </c>
      <c r="G136">
        <v>0.61</v>
      </c>
      <c r="H136">
        <v>0.56499999999999995</v>
      </c>
      <c r="I136">
        <v>0.6</v>
      </c>
      <c r="J136">
        <v>371919</v>
      </c>
      <c r="K136">
        <v>34474.800000000003</v>
      </c>
      <c r="L136">
        <f t="shared" si="2"/>
        <v>0</v>
      </c>
      <c r="M136">
        <f>+IF(DailyData[[#This Row],[Column1]]&gt;0,DailyData[[#This Row],[Column1]]-L123,0)</f>
        <v>0</v>
      </c>
      <c r="N136" s="1">
        <f>+IF(DailyData[[#This Row],[Column2]]=0,0,DailyData[[#This Row],[Date]])</f>
        <v>0</v>
      </c>
    </row>
    <row r="137" spans="3:14" x14ac:dyDescent="0.25">
      <c r="C137" s="1">
        <v>45852</v>
      </c>
      <c r="D137" s="2" t="s">
        <v>12</v>
      </c>
      <c r="E137">
        <v>16361</v>
      </c>
      <c r="F137">
        <v>39.590000000000003</v>
      </c>
      <c r="G137">
        <v>39.99</v>
      </c>
      <c r="H137">
        <v>39.51</v>
      </c>
      <c r="I137">
        <v>39.729999999999997</v>
      </c>
      <c r="J137">
        <v>6582664</v>
      </c>
      <c r="K137">
        <v>650022.52</v>
      </c>
      <c r="L137">
        <f t="shared" si="2"/>
        <v>0</v>
      </c>
      <c r="M137">
        <f>+IF(DailyData[[#This Row],[Column1]]&gt;0,DailyData[[#This Row],[Column1]]-L124,0)</f>
        <v>0</v>
      </c>
      <c r="N137" s="1">
        <f>+IF(DailyData[[#This Row],[Column2]]=0,0,DailyData[[#This Row],[Date]])</f>
        <v>0</v>
      </c>
    </row>
    <row r="138" spans="3:14" x14ac:dyDescent="0.25">
      <c r="C138" s="1">
        <v>45852</v>
      </c>
      <c r="D138" s="2" t="s">
        <v>13</v>
      </c>
      <c r="E138">
        <v>44090</v>
      </c>
      <c r="F138">
        <v>1.7000000000000001E-2</v>
      </c>
      <c r="G138">
        <v>1.7000000000000001E-2</v>
      </c>
      <c r="H138">
        <v>1.6E-2</v>
      </c>
      <c r="I138">
        <v>1.6E-2</v>
      </c>
      <c r="J138">
        <v>283161</v>
      </c>
      <c r="K138">
        <v>705.44</v>
      </c>
      <c r="L138">
        <f t="shared" si="2"/>
        <v>0</v>
      </c>
      <c r="M138">
        <f>+IF(DailyData[[#This Row],[Column1]]&gt;0,DailyData[[#This Row],[Column1]]-L125,0)</f>
        <v>0</v>
      </c>
      <c r="N138" s="1">
        <f>+IF(DailyData[[#This Row],[Column2]]=0,0,DailyData[[#This Row],[Date]])</f>
        <v>0</v>
      </c>
    </row>
    <row r="139" spans="3:14" x14ac:dyDescent="0.25">
      <c r="C139" s="1">
        <v>45852</v>
      </c>
      <c r="D139" s="2" t="s">
        <v>14</v>
      </c>
      <c r="E139">
        <v>0</v>
      </c>
      <c r="F139">
        <v>179.1</v>
      </c>
      <c r="G139">
        <v>180.32</v>
      </c>
      <c r="H139">
        <v>178.12</v>
      </c>
      <c r="I139">
        <v>178.72</v>
      </c>
      <c r="J139">
        <v>897592</v>
      </c>
      <c r="K139">
        <v>0</v>
      </c>
      <c r="L139">
        <f t="shared" si="2"/>
        <v>0</v>
      </c>
      <c r="M139">
        <f>+IF(DailyData[[#This Row],[Column1]]&gt;0,DailyData[[#This Row],[Column1]]-L126,0)</f>
        <v>0</v>
      </c>
      <c r="N139" s="1">
        <f>+IF(DailyData[[#This Row],[Column2]]=0,0,DailyData[[#This Row],[Date]])</f>
        <v>0</v>
      </c>
    </row>
    <row r="140" spans="3:14" x14ac:dyDescent="0.25">
      <c r="C140" s="1">
        <v>45852</v>
      </c>
      <c r="D140" s="2" t="s">
        <v>15</v>
      </c>
      <c r="E140">
        <v>10000</v>
      </c>
      <c r="F140">
        <v>0.46500000000000002</v>
      </c>
      <c r="G140">
        <v>0.46500000000000002</v>
      </c>
      <c r="H140">
        <v>0.44500000000000001</v>
      </c>
      <c r="I140">
        <v>0.45</v>
      </c>
      <c r="J140">
        <v>254600</v>
      </c>
      <c r="K140">
        <v>4500</v>
      </c>
      <c r="L140">
        <f t="shared" si="2"/>
        <v>0</v>
      </c>
      <c r="M140">
        <f>+IF(DailyData[[#This Row],[Column1]]&gt;0,DailyData[[#This Row],[Column1]]-L127,0)</f>
        <v>0</v>
      </c>
      <c r="N140" s="1">
        <f>+IF(DailyData[[#This Row],[Column2]]=0,0,DailyData[[#This Row],[Date]])</f>
        <v>0</v>
      </c>
    </row>
    <row r="141" spans="3:14" x14ac:dyDescent="0.25">
      <c r="C141" s="1">
        <v>45852</v>
      </c>
      <c r="D141" s="2" t="s">
        <v>16</v>
      </c>
      <c r="E141">
        <v>20000</v>
      </c>
      <c r="F141">
        <v>0.22500000000000001</v>
      </c>
      <c r="G141">
        <v>0.23499999999999999</v>
      </c>
      <c r="H141">
        <v>0.22</v>
      </c>
      <c r="I141">
        <v>0.23499999999999999</v>
      </c>
      <c r="J141">
        <v>77703</v>
      </c>
      <c r="K141">
        <v>4700</v>
      </c>
      <c r="L141">
        <f t="shared" si="2"/>
        <v>0</v>
      </c>
      <c r="M141">
        <f>+IF(DailyData[[#This Row],[Column1]]&gt;0,DailyData[[#This Row],[Column1]]-L128,0)</f>
        <v>0</v>
      </c>
      <c r="N141" s="1">
        <f>+IF(DailyData[[#This Row],[Column2]]=0,0,DailyData[[#This Row],[Date]])</f>
        <v>0</v>
      </c>
    </row>
    <row r="142" spans="3:14" x14ac:dyDescent="0.25">
      <c r="C142" s="1">
        <v>45852</v>
      </c>
      <c r="D142" s="2" t="s">
        <v>17</v>
      </c>
      <c r="E142">
        <v>700000</v>
      </c>
      <c r="F142">
        <v>2E-3</v>
      </c>
      <c r="G142">
        <v>2E-3</v>
      </c>
      <c r="H142">
        <v>2E-3</v>
      </c>
      <c r="I142">
        <v>2E-3</v>
      </c>
      <c r="J142">
        <v>98665</v>
      </c>
      <c r="K142">
        <v>1750</v>
      </c>
      <c r="L142">
        <f t="shared" si="2"/>
        <v>0</v>
      </c>
      <c r="M142">
        <f>+IF(DailyData[[#This Row],[Column1]]&gt;0,DailyData[[#This Row],[Column1]]-L129,0)</f>
        <v>0</v>
      </c>
      <c r="N142" s="1">
        <f>+IF(DailyData[[#This Row],[Column2]]=0,0,DailyData[[#This Row],[Date]])</f>
        <v>0</v>
      </c>
    </row>
    <row r="143" spans="3:14" x14ac:dyDescent="0.25">
      <c r="C143" s="1">
        <v>45852</v>
      </c>
      <c r="D143" s="2" t="s">
        <v>18</v>
      </c>
      <c r="E143">
        <v>9412</v>
      </c>
      <c r="F143">
        <v>0.32</v>
      </c>
      <c r="G143">
        <v>0.37</v>
      </c>
      <c r="H143">
        <v>0.32</v>
      </c>
      <c r="I143">
        <v>0.36</v>
      </c>
      <c r="J143">
        <v>942643</v>
      </c>
      <c r="K143">
        <v>3388.32</v>
      </c>
      <c r="L143">
        <f t="shared" si="2"/>
        <v>0</v>
      </c>
      <c r="M143">
        <f>+IF(DailyData[[#This Row],[Column1]]&gt;0,DailyData[[#This Row],[Column1]]-L130,0)</f>
        <v>0</v>
      </c>
      <c r="N143" s="1">
        <f>+IF(DailyData[[#This Row],[Column2]]=0,0,DailyData[[#This Row],[Date]])</f>
        <v>0</v>
      </c>
    </row>
    <row r="144" spans="3:14" x14ac:dyDescent="0.25">
      <c r="C144" s="1">
        <v>45852</v>
      </c>
      <c r="D144" s="2" t="s">
        <v>19</v>
      </c>
      <c r="E144">
        <v>6000</v>
      </c>
      <c r="F144">
        <v>0.1</v>
      </c>
      <c r="G144">
        <v>0.11</v>
      </c>
      <c r="H144">
        <v>9.6000000000000002E-2</v>
      </c>
      <c r="I144">
        <v>0.1</v>
      </c>
      <c r="J144">
        <v>113643</v>
      </c>
      <c r="K144">
        <v>600</v>
      </c>
      <c r="L144">
        <f t="shared" si="2"/>
        <v>0</v>
      </c>
      <c r="M144">
        <f>+IF(DailyData[[#This Row],[Column1]]&gt;0,DailyData[[#This Row],[Column1]]-L131,0)</f>
        <v>0</v>
      </c>
      <c r="N144" s="1">
        <f>+IF(DailyData[[#This Row],[Column2]]=0,0,DailyData[[#This Row],[Date]])</f>
        <v>0</v>
      </c>
    </row>
    <row r="145" spans="3:14" x14ac:dyDescent="0.25">
      <c r="C145" s="1">
        <v>45852</v>
      </c>
      <c r="D145" s="2" t="s">
        <v>20</v>
      </c>
      <c r="E145">
        <v>0</v>
      </c>
      <c r="F145">
        <v>33.799999999999997</v>
      </c>
      <c r="G145">
        <v>33.85</v>
      </c>
      <c r="H145">
        <v>33.520000000000003</v>
      </c>
      <c r="I145">
        <v>33.56</v>
      </c>
      <c r="J145">
        <v>2206943</v>
      </c>
      <c r="K145">
        <v>0</v>
      </c>
      <c r="L145">
        <f t="shared" ref="L145:L208" si="3">+IF(C146&lt;&gt;C145,SUM(K133:K145),0)</f>
        <v>0</v>
      </c>
      <c r="M145">
        <f>+IF(DailyData[[#This Row],[Column1]]&gt;0,DailyData[[#This Row],[Column1]]-L132,0)</f>
        <v>0</v>
      </c>
      <c r="N145" s="1">
        <f>+IF(DailyData[[#This Row],[Column2]]=0,0,DailyData[[#This Row],[Date]])</f>
        <v>0</v>
      </c>
    </row>
    <row r="146" spans="3:14" x14ac:dyDescent="0.25">
      <c r="C146" s="1">
        <v>45852</v>
      </c>
      <c r="D146" s="2" t="s">
        <v>21</v>
      </c>
      <c r="E146">
        <v>1288</v>
      </c>
      <c r="F146">
        <v>24.15</v>
      </c>
      <c r="G146">
        <v>24.24</v>
      </c>
      <c r="H146">
        <v>23.965</v>
      </c>
      <c r="I146">
        <v>24.07</v>
      </c>
      <c r="J146">
        <v>1990783</v>
      </c>
      <c r="K146">
        <v>31002.16</v>
      </c>
      <c r="L146">
        <f t="shared" si="3"/>
        <v>938906.32</v>
      </c>
      <c r="M146">
        <f>+IF(DailyData[[#This Row],[Column1]]&gt;0,DailyData[[#This Row],[Column1]]-L133,0)</f>
        <v>12351.609999999986</v>
      </c>
      <c r="N146" s="1">
        <f>+IF(DailyData[[#This Row],[Column2]]=0,0,DailyData[[#This Row],[Date]])</f>
        <v>45852</v>
      </c>
    </row>
    <row r="147" spans="3:14" x14ac:dyDescent="0.25">
      <c r="C147" s="1">
        <v>45853</v>
      </c>
      <c r="D147" s="2" t="s">
        <v>9</v>
      </c>
      <c r="E147">
        <v>153181</v>
      </c>
      <c r="F147">
        <v>0.67500000000000004</v>
      </c>
      <c r="G147">
        <v>0.67500000000000004</v>
      </c>
      <c r="H147">
        <v>0.65500000000000003</v>
      </c>
      <c r="I147">
        <v>0.66500000000000004</v>
      </c>
      <c r="J147">
        <v>2614752</v>
      </c>
      <c r="K147">
        <v>101865.37</v>
      </c>
      <c r="L147">
        <f t="shared" si="3"/>
        <v>0</v>
      </c>
      <c r="M147">
        <f>+IF(DailyData[[#This Row],[Column1]]&gt;0,DailyData[[#This Row],[Column1]]-L134,0)</f>
        <v>0</v>
      </c>
      <c r="N147" s="1">
        <f>+IF(DailyData[[#This Row],[Column2]]=0,0,DailyData[[#This Row],[Date]])</f>
        <v>0</v>
      </c>
    </row>
    <row r="148" spans="3:14" x14ac:dyDescent="0.25">
      <c r="C148" s="1">
        <v>45853</v>
      </c>
      <c r="D148" s="2" t="s">
        <v>10</v>
      </c>
      <c r="E148">
        <v>70000</v>
      </c>
      <c r="F148">
        <v>1.4850000000000001</v>
      </c>
      <c r="G148">
        <v>1.54</v>
      </c>
      <c r="H148">
        <v>1.47</v>
      </c>
      <c r="I148">
        <v>1.53</v>
      </c>
      <c r="J148">
        <v>10605933</v>
      </c>
      <c r="K148">
        <v>107100</v>
      </c>
      <c r="L148">
        <f t="shared" si="3"/>
        <v>0</v>
      </c>
      <c r="M148">
        <f>+IF(DailyData[[#This Row],[Column1]]&gt;0,DailyData[[#This Row],[Column1]]-L135,0)</f>
        <v>0</v>
      </c>
      <c r="N148" s="1">
        <f>+IF(DailyData[[#This Row],[Column2]]=0,0,DailyData[[#This Row],[Date]])</f>
        <v>0</v>
      </c>
    </row>
    <row r="149" spans="3:14" x14ac:dyDescent="0.25">
      <c r="C149" s="1">
        <v>45853</v>
      </c>
      <c r="D149" s="2" t="s">
        <v>11</v>
      </c>
      <c r="E149">
        <v>57458</v>
      </c>
      <c r="F149">
        <v>0.625</v>
      </c>
      <c r="G149">
        <v>0.71</v>
      </c>
      <c r="H149">
        <v>0.61499999999999999</v>
      </c>
      <c r="I149">
        <v>0.70499999999999996</v>
      </c>
      <c r="J149">
        <v>1477762</v>
      </c>
      <c r="K149">
        <v>40507.89</v>
      </c>
      <c r="L149">
        <f t="shared" si="3"/>
        <v>0</v>
      </c>
      <c r="M149">
        <f>+IF(DailyData[[#This Row],[Column1]]&gt;0,DailyData[[#This Row],[Column1]]-L136,0)</f>
        <v>0</v>
      </c>
      <c r="N149" s="1">
        <f>+IF(DailyData[[#This Row],[Column2]]=0,0,DailyData[[#This Row],[Date]])</f>
        <v>0</v>
      </c>
    </row>
    <row r="150" spans="3:14" x14ac:dyDescent="0.25">
      <c r="C150" s="1">
        <v>45853</v>
      </c>
      <c r="D150" s="2" t="s">
        <v>12</v>
      </c>
      <c r="E150">
        <v>16361</v>
      </c>
      <c r="F150">
        <v>39.619999999999997</v>
      </c>
      <c r="G150">
        <v>39.729999999999997</v>
      </c>
      <c r="H150">
        <v>39.215000000000003</v>
      </c>
      <c r="I150">
        <v>39.39</v>
      </c>
      <c r="J150">
        <v>6061477</v>
      </c>
      <c r="K150">
        <v>644459.78</v>
      </c>
      <c r="L150">
        <f t="shared" si="3"/>
        <v>0</v>
      </c>
      <c r="M150">
        <f>+IF(DailyData[[#This Row],[Column1]]&gt;0,DailyData[[#This Row],[Column1]]-L137,0)</f>
        <v>0</v>
      </c>
      <c r="N150" s="1">
        <f>+IF(DailyData[[#This Row],[Column2]]=0,0,DailyData[[#This Row],[Date]])</f>
        <v>0</v>
      </c>
    </row>
    <row r="151" spans="3:14" x14ac:dyDescent="0.25">
      <c r="C151" s="1">
        <v>45853</v>
      </c>
      <c r="D151" s="2" t="s">
        <v>13</v>
      </c>
      <c r="E151">
        <v>44090</v>
      </c>
      <c r="F151">
        <v>1.7000000000000001E-2</v>
      </c>
      <c r="G151">
        <v>1.7000000000000001E-2</v>
      </c>
      <c r="H151">
        <v>1.4999999999999999E-2</v>
      </c>
      <c r="I151">
        <v>1.6E-2</v>
      </c>
      <c r="J151">
        <v>978304</v>
      </c>
      <c r="K151">
        <v>705.44</v>
      </c>
      <c r="L151">
        <f t="shared" si="3"/>
        <v>0</v>
      </c>
      <c r="M151">
        <f>+IF(DailyData[[#This Row],[Column1]]&gt;0,DailyData[[#This Row],[Column1]]-L138,0)</f>
        <v>0</v>
      </c>
      <c r="N151" s="1">
        <f>+IF(DailyData[[#This Row],[Column2]]=0,0,DailyData[[#This Row],[Date]])</f>
        <v>0</v>
      </c>
    </row>
    <row r="152" spans="3:14" x14ac:dyDescent="0.25">
      <c r="C152" s="1">
        <v>45853</v>
      </c>
      <c r="D152" s="2" t="s">
        <v>14</v>
      </c>
      <c r="E152">
        <v>0</v>
      </c>
      <c r="F152">
        <v>179.5</v>
      </c>
      <c r="G152">
        <v>180.4</v>
      </c>
      <c r="H152">
        <v>178.85</v>
      </c>
      <c r="I152">
        <v>179.76</v>
      </c>
      <c r="J152">
        <v>1012788</v>
      </c>
      <c r="K152">
        <v>0</v>
      </c>
      <c r="L152">
        <f t="shared" si="3"/>
        <v>0</v>
      </c>
      <c r="M152">
        <f>+IF(DailyData[[#This Row],[Column1]]&gt;0,DailyData[[#This Row],[Column1]]-L139,0)</f>
        <v>0</v>
      </c>
      <c r="N152" s="1">
        <f>+IF(DailyData[[#This Row],[Column2]]=0,0,DailyData[[#This Row],[Date]])</f>
        <v>0</v>
      </c>
    </row>
    <row r="153" spans="3:14" x14ac:dyDescent="0.25">
      <c r="C153" s="1">
        <v>45853</v>
      </c>
      <c r="D153" s="2" t="s">
        <v>15</v>
      </c>
      <c r="E153">
        <v>10000</v>
      </c>
      <c r="F153">
        <v>0.44500000000000001</v>
      </c>
      <c r="G153">
        <v>0.45500000000000002</v>
      </c>
      <c r="H153">
        <v>0.44500000000000001</v>
      </c>
      <c r="I153">
        <v>0.45500000000000002</v>
      </c>
      <c r="J153">
        <v>178962</v>
      </c>
      <c r="K153">
        <v>4550</v>
      </c>
      <c r="L153">
        <f t="shared" si="3"/>
        <v>0</v>
      </c>
      <c r="M153">
        <f>+IF(DailyData[[#This Row],[Column1]]&gt;0,DailyData[[#This Row],[Column1]]-L140,0)</f>
        <v>0</v>
      </c>
      <c r="N153" s="1">
        <f>+IF(DailyData[[#This Row],[Column2]]=0,0,DailyData[[#This Row],[Date]])</f>
        <v>0</v>
      </c>
    </row>
    <row r="154" spans="3:14" x14ac:dyDescent="0.25">
      <c r="C154" s="1">
        <v>45853</v>
      </c>
      <c r="D154" s="2" t="s">
        <v>16</v>
      </c>
      <c r="E154">
        <v>20000</v>
      </c>
      <c r="F154">
        <v>0.22500000000000001</v>
      </c>
      <c r="G154">
        <v>0.23</v>
      </c>
      <c r="H154">
        <v>0.22500000000000001</v>
      </c>
      <c r="I154">
        <v>0.22500000000000001</v>
      </c>
      <c r="J154">
        <v>111250</v>
      </c>
      <c r="K154">
        <v>4500</v>
      </c>
      <c r="L154">
        <f t="shared" si="3"/>
        <v>0</v>
      </c>
      <c r="M154">
        <f>+IF(DailyData[[#This Row],[Column1]]&gt;0,DailyData[[#This Row],[Column1]]-L141,0)</f>
        <v>0</v>
      </c>
      <c r="N154" s="1">
        <f>+IF(DailyData[[#This Row],[Column2]]=0,0,DailyData[[#This Row],[Date]])</f>
        <v>0</v>
      </c>
    </row>
    <row r="155" spans="3:14" x14ac:dyDescent="0.25">
      <c r="C155" s="1">
        <v>45853</v>
      </c>
      <c r="D155" s="2" t="s">
        <v>17</v>
      </c>
      <c r="E155">
        <v>700000</v>
      </c>
      <c r="F155">
        <v>2E-3</v>
      </c>
      <c r="G155">
        <v>2E-3</v>
      </c>
      <c r="H155">
        <v>2E-3</v>
      </c>
      <c r="I155">
        <v>2E-3</v>
      </c>
      <c r="J155">
        <v>3154</v>
      </c>
      <c r="K155">
        <v>1400</v>
      </c>
      <c r="L155">
        <f t="shared" si="3"/>
        <v>0</v>
      </c>
      <c r="M155">
        <f>+IF(DailyData[[#This Row],[Column1]]&gt;0,DailyData[[#This Row],[Column1]]-L142,0)</f>
        <v>0</v>
      </c>
      <c r="N155" s="1">
        <f>+IF(DailyData[[#This Row],[Column2]]=0,0,DailyData[[#This Row],[Date]])</f>
        <v>0</v>
      </c>
    </row>
    <row r="156" spans="3:14" x14ac:dyDescent="0.25">
      <c r="C156" s="1">
        <v>45853</v>
      </c>
      <c r="D156" s="2" t="s">
        <v>18</v>
      </c>
      <c r="E156">
        <v>9412</v>
      </c>
      <c r="F156">
        <v>0.36</v>
      </c>
      <c r="G156">
        <v>0.36499999999999999</v>
      </c>
      <c r="H156">
        <v>0.35499999999999998</v>
      </c>
      <c r="I156">
        <v>0.36</v>
      </c>
      <c r="J156">
        <v>156613</v>
      </c>
      <c r="K156">
        <v>3388.32</v>
      </c>
      <c r="L156">
        <f t="shared" si="3"/>
        <v>0</v>
      </c>
      <c r="M156">
        <f>+IF(DailyData[[#This Row],[Column1]]&gt;0,DailyData[[#This Row],[Column1]]-L143,0)</f>
        <v>0</v>
      </c>
      <c r="N156" s="1">
        <f>+IF(DailyData[[#This Row],[Column2]]=0,0,DailyData[[#This Row],[Date]])</f>
        <v>0</v>
      </c>
    </row>
    <row r="157" spans="3:14" x14ac:dyDescent="0.25">
      <c r="C157" s="1">
        <v>45853</v>
      </c>
      <c r="D157" s="2" t="s">
        <v>19</v>
      </c>
      <c r="E157">
        <v>6000</v>
      </c>
      <c r="F157">
        <v>0.1</v>
      </c>
      <c r="G157">
        <v>0.11</v>
      </c>
      <c r="H157">
        <v>0.1</v>
      </c>
      <c r="I157">
        <v>0.1</v>
      </c>
      <c r="J157">
        <v>64757</v>
      </c>
      <c r="K157">
        <v>600</v>
      </c>
      <c r="L157">
        <f t="shared" si="3"/>
        <v>0</v>
      </c>
      <c r="M157">
        <f>+IF(DailyData[[#This Row],[Column1]]&gt;0,DailyData[[#This Row],[Column1]]-L144,0)</f>
        <v>0</v>
      </c>
      <c r="N157" s="1">
        <f>+IF(DailyData[[#This Row],[Column2]]=0,0,DailyData[[#This Row],[Date]])</f>
        <v>0</v>
      </c>
    </row>
    <row r="158" spans="3:14" x14ac:dyDescent="0.25">
      <c r="C158" s="1">
        <v>45853</v>
      </c>
      <c r="D158" s="2" t="s">
        <v>20</v>
      </c>
      <c r="E158">
        <v>0</v>
      </c>
      <c r="F158">
        <v>33.799999999999997</v>
      </c>
      <c r="G158">
        <v>33.96</v>
      </c>
      <c r="H158">
        <v>33.47</v>
      </c>
      <c r="I158">
        <v>33.79</v>
      </c>
      <c r="J158">
        <v>2672315</v>
      </c>
      <c r="K158">
        <v>0</v>
      </c>
      <c r="L158">
        <f t="shared" si="3"/>
        <v>0</v>
      </c>
      <c r="M158">
        <f>+IF(DailyData[[#This Row],[Column1]]&gt;0,DailyData[[#This Row],[Column1]]-L145,0)</f>
        <v>0</v>
      </c>
      <c r="N158" s="1">
        <f>+IF(DailyData[[#This Row],[Column2]]=0,0,DailyData[[#This Row],[Date]])</f>
        <v>0</v>
      </c>
    </row>
    <row r="159" spans="3:14" x14ac:dyDescent="0.25">
      <c r="C159" s="1">
        <v>45853</v>
      </c>
      <c r="D159" s="2" t="s">
        <v>21</v>
      </c>
      <c r="E159">
        <v>1288</v>
      </c>
      <c r="F159">
        <v>23.95</v>
      </c>
      <c r="G159">
        <v>24.25</v>
      </c>
      <c r="H159">
        <v>23.9</v>
      </c>
      <c r="I159">
        <v>24.19</v>
      </c>
      <c r="J159">
        <v>2591335</v>
      </c>
      <c r="L159">
        <f t="shared" si="3"/>
        <v>909076.79999999993</v>
      </c>
      <c r="M159">
        <f>+IF(DailyData[[#This Row],[Column1]]&gt;0,DailyData[[#This Row],[Column1]]-L146,0)</f>
        <v>-29829.520000000019</v>
      </c>
      <c r="N159" s="1">
        <f>+IF(DailyData[[#This Row],[Column2]]=0,0,DailyData[[#This Row],[Date]])</f>
        <v>45853</v>
      </c>
    </row>
    <row r="160" spans="3:14" x14ac:dyDescent="0.25">
      <c r="C160" s="1">
        <v>45854</v>
      </c>
      <c r="D160" s="2" t="s">
        <v>9</v>
      </c>
      <c r="E160">
        <v>153181</v>
      </c>
      <c r="F160">
        <v>0.67</v>
      </c>
      <c r="G160">
        <v>0.68</v>
      </c>
      <c r="H160">
        <v>0.66300000000000003</v>
      </c>
      <c r="I160">
        <v>0.67500000000000004</v>
      </c>
      <c r="J160">
        <v>1582196</v>
      </c>
      <c r="K160">
        <v>103397.18</v>
      </c>
      <c r="L160">
        <f t="shared" si="3"/>
        <v>0</v>
      </c>
      <c r="M160">
        <f>+IF(DailyData[[#This Row],[Column1]]&gt;0,DailyData[[#This Row],[Column1]]-L147,0)</f>
        <v>0</v>
      </c>
      <c r="N160" s="1">
        <f>+IF(DailyData[[#This Row],[Column2]]=0,0,DailyData[[#This Row],[Date]])</f>
        <v>0</v>
      </c>
    </row>
    <row r="161" spans="3:14" x14ac:dyDescent="0.25">
      <c r="C161" s="1">
        <v>45854</v>
      </c>
      <c r="D161" s="2" t="s">
        <v>10</v>
      </c>
      <c r="E161">
        <v>70000</v>
      </c>
      <c r="F161">
        <v>1.53</v>
      </c>
      <c r="G161">
        <v>1.5349999999999999</v>
      </c>
      <c r="H161">
        <v>1.5</v>
      </c>
      <c r="I161">
        <v>1.5</v>
      </c>
      <c r="J161">
        <v>5666467</v>
      </c>
      <c r="K161">
        <v>105000</v>
      </c>
      <c r="L161">
        <f t="shared" si="3"/>
        <v>0</v>
      </c>
      <c r="M161">
        <f>+IF(DailyData[[#This Row],[Column1]]&gt;0,DailyData[[#This Row],[Column1]]-L148,0)</f>
        <v>0</v>
      </c>
      <c r="N161" s="1">
        <f>+IF(DailyData[[#This Row],[Column2]]=0,0,DailyData[[#This Row],[Date]])</f>
        <v>0</v>
      </c>
    </row>
    <row r="162" spans="3:14" x14ac:dyDescent="0.25">
      <c r="C162" s="1">
        <v>45854</v>
      </c>
      <c r="D162" s="2" t="s">
        <v>11</v>
      </c>
      <c r="E162">
        <v>57458</v>
      </c>
      <c r="F162">
        <v>0.73</v>
      </c>
      <c r="G162">
        <v>0.77500000000000002</v>
      </c>
      <c r="H162">
        <v>0.68</v>
      </c>
      <c r="I162">
        <v>0.71499999999999997</v>
      </c>
      <c r="J162">
        <v>1405585</v>
      </c>
      <c r="K162">
        <v>41082.47</v>
      </c>
      <c r="L162">
        <f t="shared" si="3"/>
        <v>0</v>
      </c>
      <c r="M162">
        <f>+IF(DailyData[[#This Row],[Column1]]&gt;0,DailyData[[#This Row],[Column1]]-L149,0)</f>
        <v>0</v>
      </c>
      <c r="N162" s="1">
        <f>+IF(DailyData[[#This Row],[Column2]]=0,0,DailyData[[#This Row],[Date]])</f>
        <v>0</v>
      </c>
    </row>
    <row r="163" spans="3:14" x14ac:dyDescent="0.25">
      <c r="C163" s="1">
        <v>45854</v>
      </c>
      <c r="D163" s="2" t="s">
        <v>12</v>
      </c>
      <c r="E163">
        <v>16361</v>
      </c>
      <c r="F163">
        <v>38.770000000000003</v>
      </c>
      <c r="G163">
        <v>39.130000000000003</v>
      </c>
      <c r="H163">
        <v>38.659999999999997</v>
      </c>
      <c r="I163">
        <v>39.11</v>
      </c>
      <c r="J163">
        <v>6479966</v>
      </c>
      <c r="K163">
        <v>639878.72</v>
      </c>
      <c r="L163">
        <f t="shared" si="3"/>
        <v>0</v>
      </c>
      <c r="M163">
        <f>+IF(DailyData[[#This Row],[Column1]]&gt;0,DailyData[[#This Row],[Column1]]-L150,0)</f>
        <v>0</v>
      </c>
      <c r="N163" s="1">
        <f>+IF(DailyData[[#This Row],[Column2]]=0,0,DailyData[[#This Row],[Date]])</f>
        <v>0</v>
      </c>
    </row>
    <row r="164" spans="3:14" x14ac:dyDescent="0.25">
      <c r="C164" s="1">
        <v>45854</v>
      </c>
      <c r="D164" s="2" t="s">
        <v>13</v>
      </c>
      <c r="E164">
        <v>44090</v>
      </c>
      <c r="F164">
        <v>1.6E-2</v>
      </c>
      <c r="G164">
        <v>1.6E-2</v>
      </c>
      <c r="H164">
        <v>1.4999999999999999E-2</v>
      </c>
      <c r="I164">
        <v>1.4999999999999999E-2</v>
      </c>
      <c r="J164">
        <v>570413</v>
      </c>
      <c r="K164">
        <v>661.35</v>
      </c>
      <c r="L164">
        <f t="shared" si="3"/>
        <v>0</v>
      </c>
      <c r="M164">
        <f>+IF(DailyData[[#This Row],[Column1]]&gt;0,DailyData[[#This Row],[Column1]]-L151,0)</f>
        <v>0</v>
      </c>
      <c r="N164" s="1">
        <f>+IF(DailyData[[#This Row],[Column2]]=0,0,DailyData[[#This Row],[Date]])</f>
        <v>0</v>
      </c>
    </row>
    <row r="165" spans="3:14" x14ac:dyDescent="0.25">
      <c r="C165" s="1">
        <v>45854</v>
      </c>
      <c r="D165" s="2" t="s">
        <v>14</v>
      </c>
      <c r="E165">
        <v>0</v>
      </c>
      <c r="F165">
        <v>178</v>
      </c>
      <c r="G165">
        <v>178.8</v>
      </c>
      <c r="H165">
        <v>177.16499999999999</v>
      </c>
      <c r="I165">
        <v>177.57</v>
      </c>
      <c r="J165">
        <v>1592632</v>
      </c>
      <c r="K165">
        <v>0</v>
      </c>
      <c r="L165">
        <f t="shared" si="3"/>
        <v>0</v>
      </c>
      <c r="M165">
        <f>+IF(DailyData[[#This Row],[Column1]]&gt;0,DailyData[[#This Row],[Column1]]-L152,0)</f>
        <v>0</v>
      </c>
      <c r="N165" s="1">
        <f>+IF(DailyData[[#This Row],[Column2]]=0,0,DailyData[[#This Row],[Date]])</f>
        <v>0</v>
      </c>
    </row>
    <row r="166" spans="3:14" x14ac:dyDescent="0.25">
      <c r="C166" s="1">
        <v>45854</v>
      </c>
      <c r="D166" s="2" t="s">
        <v>15</v>
      </c>
      <c r="E166">
        <v>10000</v>
      </c>
      <c r="F166">
        <v>0.45500000000000002</v>
      </c>
      <c r="G166">
        <v>0.46</v>
      </c>
      <c r="H166">
        <v>0.45</v>
      </c>
      <c r="I166">
        <v>0.45</v>
      </c>
      <c r="J166">
        <v>56245</v>
      </c>
      <c r="K166">
        <v>4500</v>
      </c>
      <c r="L166">
        <f t="shared" si="3"/>
        <v>0</v>
      </c>
      <c r="M166">
        <f>+IF(DailyData[[#This Row],[Column1]]&gt;0,DailyData[[#This Row],[Column1]]-L153,0)</f>
        <v>0</v>
      </c>
      <c r="N166" s="1">
        <f>+IF(DailyData[[#This Row],[Column2]]=0,0,DailyData[[#This Row],[Date]])</f>
        <v>0</v>
      </c>
    </row>
    <row r="167" spans="3:14" x14ac:dyDescent="0.25">
      <c r="C167" s="1">
        <v>45854</v>
      </c>
      <c r="D167" s="2" t="s">
        <v>16</v>
      </c>
      <c r="E167">
        <v>20000</v>
      </c>
      <c r="F167">
        <v>0.22500000000000001</v>
      </c>
      <c r="G167">
        <v>0.23</v>
      </c>
      <c r="H167">
        <v>0.22500000000000001</v>
      </c>
      <c r="I167">
        <v>0.23</v>
      </c>
      <c r="J167">
        <v>82935</v>
      </c>
      <c r="K167">
        <v>4600</v>
      </c>
      <c r="L167">
        <f t="shared" si="3"/>
        <v>0</v>
      </c>
      <c r="M167">
        <f>+IF(DailyData[[#This Row],[Column1]]&gt;0,DailyData[[#This Row],[Column1]]-L154,0)</f>
        <v>0</v>
      </c>
      <c r="N167" s="1">
        <f>+IF(DailyData[[#This Row],[Column2]]=0,0,DailyData[[#This Row],[Date]])</f>
        <v>0</v>
      </c>
    </row>
    <row r="168" spans="3:14" x14ac:dyDescent="0.25">
      <c r="C168" s="1">
        <v>45854</v>
      </c>
      <c r="D168" s="2" t="s">
        <v>17</v>
      </c>
      <c r="E168">
        <v>700000</v>
      </c>
      <c r="F168">
        <v>2E-3</v>
      </c>
      <c r="G168">
        <v>2E-3</v>
      </c>
      <c r="H168">
        <v>2E-3</v>
      </c>
      <c r="I168">
        <v>2E-3</v>
      </c>
      <c r="J168">
        <v>314896</v>
      </c>
      <c r="K168">
        <v>1400</v>
      </c>
      <c r="L168">
        <f t="shared" si="3"/>
        <v>0</v>
      </c>
      <c r="M168">
        <f>+IF(DailyData[[#This Row],[Column1]]&gt;0,DailyData[[#This Row],[Column1]]-L155,0)</f>
        <v>0</v>
      </c>
      <c r="N168" s="1">
        <f>+IF(DailyData[[#This Row],[Column2]]=0,0,DailyData[[#This Row],[Date]])</f>
        <v>0</v>
      </c>
    </row>
    <row r="169" spans="3:14" x14ac:dyDescent="0.25">
      <c r="C169" s="1">
        <v>45854</v>
      </c>
      <c r="D169" s="2" t="s">
        <v>18</v>
      </c>
      <c r="E169">
        <v>9412</v>
      </c>
      <c r="F169">
        <v>0.36499999999999999</v>
      </c>
      <c r="G169">
        <v>0.37</v>
      </c>
      <c r="H169">
        <v>0.36</v>
      </c>
      <c r="I169">
        <v>0.37</v>
      </c>
      <c r="J169">
        <v>232439</v>
      </c>
      <c r="K169">
        <v>3482.44</v>
      </c>
      <c r="L169">
        <f t="shared" si="3"/>
        <v>0</v>
      </c>
      <c r="M169">
        <f>+IF(DailyData[[#This Row],[Column1]]&gt;0,DailyData[[#This Row],[Column1]]-L156,0)</f>
        <v>0</v>
      </c>
      <c r="N169" s="1">
        <f>+IF(DailyData[[#This Row],[Column2]]=0,0,DailyData[[#This Row],[Date]])</f>
        <v>0</v>
      </c>
    </row>
    <row r="170" spans="3:14" x14ac:dyDescent="0.25">
      <c r="C170" s="1">
        <v>45854</v>
      </c>
      <c r="D170" s="2" t="s">
        <v>19</v>
      </c>
      <c r="E170">
        <v>6000</v>
      </c>
      <c r="F170">
        <v>0.1</v>
      </c>
      <c r="G170">
        <v>0.11</v>
      </c>
      <c r="H170">
        <v>0.1</v>
      </c>
      <c r="I170">
        <v>0.1</v>
      </c>
      <c r="J170">
        <v>89342</v>
      </c>
      <c r="K170">
        <v>600</v>
      </c>
      <c r="L170">
        <f t="shared" si="3"/>
        <v>0</v>
      </c>
      <c r="M170">
        <f>+IF(DailyData[[#This Row],[Column1]]&gt;0,DailyData[[#This Row],[Column1]]-L157,0)</f>
        <v>0</v>
      </c>
      <c r="N170" s="1">
        <f>+IF(DailyData[[#This Row],[Column2]]=0,0,DailyData[[#This Row],[Date]])</f>
        <v>0</v>
      </c>
    </row>
    <row r="171" spans="3:14" x14ac:dyDescent="0.25">
      <c r="C171" s="1">
        <v>45854</v>
      </c>
      <c r="D171" s="2" t="s">
        <v>20</v>
      </c>
      <c r="E171">
        <v>0</v>
      </c>
      <c r="F171">
        <v>33.479999999999997</v>
      </c>
      <c r="G171">
        <v>33.700000000000003</v>
      </c>
      <c r="H171">
        <v>33.21</v>
      </c>
      <c r="I171">
        <v>33.299999999999997</v>
      </c>
      <c r="J171">
        <v>3801204</v>
      </c>
      <c r="K171">
        <v>0</v>
      </c>
      <c r="L171">
        <f t="shared" si="3"/>
        <v>0</v>
      </c>
      <c r="M171">
        <f>+IF(DailyData[[#This Row],[Column1]]&gt;0,DailyData[[#This Row],[Column1]]-L158,0)</f>
        <v>0</v>
      </c>
      <c r="N171" s="1">
        <f>+IF(DailyData[[#This Row],[Column2]]=0,0,DailyData[[#This Row],[Date]])</f>
        <v>0</v>
      </c>
    </row>
    <row r="172" spans="3:14" x14ac:dyDescent="0.25">
      <c r="C172" s="1">
        <v>45854</v>
      </c>
      <c r="D172" s="2" t="s">
        <v>21</v>
      </c>
      <c r="E172">
        <v>1288</v>
      </c>
      <c r="F172">
        <v>24.09</v>
      </c>
      <c r="G172">
        <v>24.21</v>
      </c>
      <c r="H172">
        <v>24</v>
      </c>
      <c r="I172">
        <v>24.17</v>
      </c>
      <c r="J172">
        <v>2267042</v>
      </c>
      <c r="K172">
        <v>31130.959999999999</v>
      </c>
      <c r="L172">
        <f t="shared" si="3"/>
        <v>935733.11999999988</v>
      </c>
      <c r="M172">
        <f>+IF(DailyData[[#This Row],[Column1]]&gt;0,DailyData[[#This Row],[Column1]]-L159,0)</f>
        <v>26656.319999999949</v>
      </c>
      <c r="N172" s="1">
        <f>+IF(DailyData[[#This Row],[Column2]]=0,0,DailyData[[#This Row],[Date]])</f>
        <v>45854</v>
      </c>
    </row>
    <row r="173" spans="3:14" x14ac:dyDescent="0.25">
      <c r="C173" s="1">
        <v>45855</v>
      </c>
      <c r="D173" s="2" t="s">
        <v>9</v>
      </c>
      <c r="E173">
        <v>153181</v>
      </c>
      <c r="F173">
        <v>0.67</v>
      </c>
      <c r="G173">
        <v>0.67</v>
      </c>
      <c r="H173">
        <v>0.64500000000000002</v>
      </c>
      <c r="I173">
        <v>0.65</v>
      </c>
      <c r="J173">
        <v>1233242</v>
      </c>
      <c r="K173">
        <v>99567.65</v>
      </c>
      <c r="L173">
        <f t="shared" si="3"/>
        <v>0</v>
      </c>
      <c r="M173">
        <f>+IF(DailyData[[#This Row],[Column1]]&gt;0,DailyData[[#This Row],[Column1]]-L160,0)</f>
        <v>0</v>
      </c>
      <c r="N173" s="1">
        <f>+IF(DailyData[[#This Row],[Column2]]=0,0,DailyData[[#This Row],[Date]])</f>
        <v>0</v>
      </c>
    </row>
    <row r="174" spans="3:14" x14ac:dyDescent="0.25">
      <c r="C174" s="1">
        <v>45855</v>
      </c>
      <c r="D174" s="2" t="s">
        <v>10</v>
      </c>
      <c r="E174">
        <v>70000</v>
      </c>
      <c r="F174">
        <v>1.5149999999999999</v>
      </c>
      <c r="G174">
        <v>1.5449999999999999</v>
      </c>
      <c r="H174">
        <v>1.51</v>
      </c>
      <c r="I174">
        <v>1.53</v>
      </c>
      <c r="J174">
        <v>10510366</v>
      </c>
      <c r="K174">
        <v>107100</v>
      </c>
      <c r="L174">
        <f t="shared" si="3"/>
        <v>0</v>
      </c>
      <c r="M174">
        <f>+IF(DailyData[[#This Row],[Column1]]&gt;0,DailyData[[#This Row],[Column1]]-L161,0)</f>
        <v>0</v>
      </c>
      <c r="N174" s="1">
        <f>+IF(DailyData[[#This Row],[Column2]]=0,0,DailyData[[#This Row],[Date]])</f>
        <v>0</v>
      </c>
    </row>
    <row r="175" spans="3:14" x14ac:dyDescent="0.25">
      <c r="C175" s="1">
        <v>45855</v>
      </c>
      <c r="D175" s="2" t="s">
        <v>11</v>
      </c>
      <c r="E175">
        <v>57458</v>
      </c>
      <c r="F175">
        <v>0.73499999999999999</v>
      </c>
      <c r="G175">
        <v>0.73499999999999999</v>
      </c>
      <c r="H175">
        <v>0.65</v>
      </c>
      <c r="I175">
        <v>0.66500000000000004</v>
      </c>
      <c r="J175">
        <v>483121</v>
      </c>
      <c r="K175">
        <v>38209.57</v>
      </c>
      <c r="L175">
        <f t="shared" si="3"/>
        <v>0</v>
      </c>
      <c r="M175">
        <f>+IF(DailyData[[#This Row],[Column1]]&gt;0,DailyData[[#This Row],[Column1]]-L162,0)</f>
        <v>0</v>
      </c>
      <c r="N175" s="1">
        <f>+IF(DailyData[[#This Row],[Column2]]=0,0,DailyData[[#This Row],[Date]])</f>
        <v>0</v>
      </c>
    </row>
    <row r="176" spans="3:14" x14ac:dyDescent="0.25">
      <c r="C176" s="1">
        <v>45855</v>
      </c>
      <c r="D176" s="2" t="s">
        <v>12</v>
      </c>
      <c r="E176">
        <v>16361</v>
      </c>
      <c r="F176">
        <v>39.130000000000003</v>
      </c>
      <c r="G176">
        <v>39.43</v>
      </c>
      <c r="H176">
        <v>39.06</v>
      </c>
      <c r="I176">
        <v>39.11</v>
      </c>
      <c r="J176">
        <v>7380298</v>
      </c>
      <c r="K176">
        <v>639878.72</v>
      </c>
      <c r="L176">
        <f t="shared" si="3"/>
        <v>0</v>
      </c>
      <c r="M176">
        <f>+IF(DailyData[[#This Row],[Column1]]&gt;0,DailyData[[#This Row],[Column1]]-L163,0)</f>
        <v>0</v>
      </c>
      <c r="N176" s="1">
        <f>+IF(DailyData[[#This Row],[Column2]]=0,0,DailyData[[#This Row],[Date]])</f>
        <v>0</v>
      </c>
    </row>
    <row r="177" spans="3:14" x14ac:dyDescent="0.25">
      <c r="C177" s="1">
        <v>45855</v>
      </c>
      <c r="D177" s="2" t="s">
        <v>13</v>
      </c>
      <c r="E177">
        <v>44090</v>
      </c>
      <c r="F177">
        <v>1.4999999999999999E-2</v>
      </c>
      <c r="G177">
        <v>1.4999999999999999E-2</v>
      </c>
      <c r="H177">
        <v>1.4999999999999999E-2</v>
      </c>
      <c r="I177">
        <v>1.4999999999999999E-2</v>
      </c>
      <c r="J177">
        <v>356170</v>
      </c>
      <c r="K177">
        <v>661.35</v>
      </c>
      <c r="L177">
        <f t="shared" si="3"/>
        <v>0</v>
      </c>
      <c r="M177">
        <f>+IF(DailyData[[#This Row],[Column1]]&gt;0,DailyData[[#This Row],[Column1]]-L164,0)</f>
        <v>0</v>
      </c>
      <c r="N177" s="1">
        <f>+IF(DailyData[[#This Row],[Column2]]=0,0,DailyData[[#This Row],[Date]])</f>
        <v>0</v>
      </c>
    </row>
    <row r="178" spans="3:14" x14ac:dyDescent="0.25">
      <c r="C178" s="1">
        <v>45855</v>
      </c>
      <c r="D178" s="2" t="s">
        <v>14</v>
      </c>
      <c r="E178">
        <v>0</v>
      </c>
      <c r="F178">
        <v>178.5</v>
      </c>
      <c r="G178">
        <v>180.8</v>
      </c>
      <c r="H178">
        <v>178</v>
      </c>
      <c r="I178">
        <v>180.8</v>
      </c>
      <c r="J178">
        <v>2856557</v>
      </c>
      <c r="K178">
        <v>0</v>
      </c>
      <c r="L178">
        <f t="shared" si="3"/>
        <v>0</v>
      </c>
      <c r="M178">
        <f>+IF(DailyData[[#This Row],[Column1]]&gt;0,DailyData[[#This Row],[Column1]]-L165,0)</f>
        <v>0</v>
      </c>
      <c r="N178" s="1">
        <f>+IF(DailyData[[#This Row],[Column2]]=0,0,DailyData[[#This Row],[Date]])</f>
        <v>0</v>
      </c>
    </row>
    <row r="179" spans="3:14" x14ac:dyDescent="0.25">
      <c r="C179" s="1">
        <v>45855</v>
      </c>
      <c r="D179" s="2" t="s">
        <v>15</v>
      </c>
      <c r="E179">
        <v>10000</v>
      </c>
      <c r="F179">
        <v>0.44500000000000001</v>
      </c>
      <c r="G179">
        <v>0.44700000000000001</v>
      </c>
      <c r="H179">
        <v>0.43</v>
      </c>
      <c r="I179">
        <v>0.43</v>
      </c>
      <c r="J179">
        <v>106403</v>
      </c>
      <c r="K179">
        <v>4300</v>
      </c>
      <c r="L179">
        <f t="shared" si="3"/>
        <v>0</v>
      </c>
      <c r="M179">
        <f>+IF(DailyData[[#This Row],[Column1]]&gt;0,DailyData[[#This Row],[Column1]]-L166,0)</f>
        <v>0</v>
      </c>
      <c r="N179" s="1">
        <f>+IF(DailyData[[#This Row],[Column2]]=0,0,DailyData[[#This Row],[Date]])</f>
        <v>0</v>
      </c>
    </row>
    <row r="180" spans="3:14" x14ac:dyDescent="0.25">
      <c r="C180" s="1">
        <v>45855</v>
      </c>
      <c r="D180" s="2" t="s">
        <v>16</v>
      </c>
      <c r="E180">
        <v>20000</v>
      </c>
      <c r="F180">
        <v>0.22500000000000001</v>
      </c>
      <c r="G180">
        <v>0.23</v>
      </c>
      <c r="H180">
        <v>0.22500000000000001</v>
      </c>
      <c r="I180">
        <v>0.23</v>
      </c>
      <c r="J180">
        <v>4725</v>
      </c>
      <c r="K180">
        <v>4600</v>
      </c>
      <c r="L180">
        <f t="shared" si="3"/>
        <v>0</v>
      </c>
      <c r="M180">
        <f>+IF(DailyData[[#This Row],[Column1]]&gt;0,DailyData[[#This Row],[Column1]]-L167,0)</f>
        <v>0</v>
      </c>
      <c r="N180" s="1">
        <f>+IF(DailyData[[#This Row],[Column2]]=0,0,DailyData[[#This Row],[Date]])</f>
        <v>0</v>
      </c>
    </row>
    <row r="181" spans="3:14" x14ac:dyDescent="0.25">
      <c r="C181" s="1">
        <v>45855</v>
      </c>
      <c r="D181" s="2" t="s">
        <v>17</v>
      </c>
      <c r="E181">
        <v>700000</v>
      </c>
      <c r="F181">
        <v>2E-3</v>
      </c>
      <c r="G181">
        <v>2E-3</v>
      </c>
      <c r="H181">
        <v>2E-3</v>
      </c>
      <c r="I181">
        <v>2E-3</v>
      </c>
      <c r="J181">
        <v>1580399</v>
      </c>
      <c r="K181">
        <v>1750</v>
      </c>
      <c r="L181">
        <f t="shared" si="3"/>
        <v>0</v>
      </c>
      <c r="M181">
        <f>+IF(DailyData[[#This Row],[Column1]]&gt;0,DailyData[[#This Row],[Column1]]-L168,0)</f>
        <v>0</v>
      </c>
      <c r="N181" s="1">
        <f>+IF(DailyData[[#This Row],[Column2]]=0,0,DailyData[[#This Row],[Date]])</f>
        <v>0</v>
      </c>
    </row>
    <row r="182" spans="3:14" x14ac:dyDescent="0.25">
      <c r="C182" s="1">
        <v>45855</v>
      </c>
      <c r="D182" s="2" t="s">
        <v>18</v>
      </c>
      <c r="E182">
        <v>9412</v>
      </c>
      <c r="F182">
        <v>0.37</v>
      </c>
      <c r="G182">
        <v>0.38</v>
      </c>
      <c r="H182">
        <v>0.35499999999999998</v>
      </c>
      <c r="I182">
        <v>0.36499999999999999</v>
      </c>
      <c r="J182">
        <v>346314</v>
      </c>
      <c r="K182">
        <v>3435.38</v>
      </c>
      <c r="L182">
        <f t="shared" si="3"/>
        <v>0</v>
      </c>
      <c r="M182">
        <f>+IF(DailyData[[#This Row],[Column1]]&gt;0,DailyData[[#This Row],[Column1]]-L169,0)</f>
        <v>0</v>
      </c>
      <c r="N182" s="1">
        <f>+IF(DailyData[[#This Row],[Column2]]=0,0,DailyData[[#This Row],[Date]])</f>
        <v>0</v>
      </c>
    </row>
    <row r="183" spans="3:14" x14ac:dyDescent="0.25">
      <c r="C183" s="1">
        <v>45855</v>
      </c>
      <c r="D183" s="2" t="s">
        <v>19</v>
      </c>
      <c r="E183">
        <v>6000</v>
      </c>
      <c r="F183">
        <v>0.105</v>
      </c>
      <c r="G183">
        <v>0.108</v>
      </c>
      <c r="H183">
        <v>0.1</v>
      </c>
      <c r="I183">
        <v>0.105</v>
      </c>
      <c r="J183">
        <v>109186</v>
      </c>
      <c r="K183">
        <v>630</v>
      </c>
      <c r="L183">
        <f t="shared" si="3"/>
        <v>0</v>
      </c>
      <c r="M183">
        <f>+IF(DailyData[[#This Row],[Column1]]&gt;0,DailyData[[#This Row],[Column1]]-L170,0)</f>
        <v>0</v>
      </c>
      <c r="N183" s="1">
        <f>+IF(DailyData[[#This Row],[Column2]]=0,0,DailyData[[#This Row],[Date]])</f>
        <v>0</v>
      </c>
    </row>
    <row r="184" spans="3:14" x14ac:dyDescent="0.25">
      <c r="C184" s="1">
        <v>45855</v>
      </c>
      <c r="D184" s="2" t="s">
        <v>20</v>
      </c>
      <c r="E184">
        <v>0</v>
      </c>
      <c r="F184">
        <v>33.42</v>
      </c>
      <c r="G184">
        <v>33.79</v>
      </c>
      <c r="H184">
        <v>33.33</v>
      </c>
      <c r="I184">
        <v>33.700000000000003</v>
      </c>
      <c r="J184">
        <v>4060220</v>
      </c>
      <c r="K184">
        <v>0</v>
      </c>
      <c r="L184">
        <f t="shared" si="3"/>
        <v>0</v>
      </c>
      <c r="M184">
        <f>+IF(DailyData[[#This Row],[Column1]]&gt;0,DailyData[[#This Row],[Column1]]-L171,0)</f>
        <v>0</v>
      </c>
      <c r="N184" s="1">
        <f>+IF(DailyData[[#This Row],[Column2]]=0,0,DailyData[[#This Row],[Date]])</f>
        <v>0</v>
      </c>
    </row>
    <row r="185" spans="3:14" x14ac:dyDescent="0.25">
      <c r="C185" s="1">
        <v>45855</v>
      </c>
      <c r="D185" s="2" t="s">
        <v>21</v>
      </c>
      <c r="E185">
        <v>1288</v>
      </c>
      <c r="F185">
        <v>24.25</v>
      </c>
      <c r="G185">
        <v>24.25</v>
      </c>
      <c r="H185">
        <v>23.98</v>
      </c>
      <c r="I185">
        <v>24.15</v>
      </c>
      <c r="J185">
        <v>2748579</v>
      </c>
      <c r="K185">
        <v>31105.200000000001</v>
      </c>
      <c r="L185">
        <f t="shared" si="3"/>
        <v>931237.86999999988</v>
      </c>
      <c r="M185">
        <f>+IF(DailyData[[#This Row],[Column1]]&gt;0,DailyData[[#This Row],[Column1]]-L172,0)</f>
        <v>-4495.25</v>
      </c>
      <c r="N185" s="1">
        <f>+IF(DailyData[[#This Row],[Column2]]=0,0,DailyData[[#This Row],[Date]])</f>
        <v>45855</v>
      </c>
    </row>
    <row r="186" spans="3:14" x14ac:dyDescent="0.25">
      <c r="C186" s="1">
        <v>45856</v>
      </c>
      <c r="D186" s="2" t="s">
        <v>9</v>
      </c>
      <c r="E186">
        <v>153181</v>
      </c>
      <c r="F186">
        <v>0.66</v>
      </c>
      <c r="G186">
        <v>0.66</v>
      </c>
      <c r="H186">
        <v>0.64500000000000002</v>
      </c>
      <c r="I186">
        <v>0.65</v>
      </c>
      <c r="J186">
        <v>1767135</v>
      </c>
      <c r="K186">
        <v>99567.65</v>
      </c>
      <c r="L186">
        <f t="shared" si="3"/>
        <v>0</v>
      </c>
      <c r="M186">
        <f>+IF(DailyData[[#This Row],[Column1]]&gt;0,DailyData[[#This Row],[Column1]]-L173,0)</f>
        <v>0</v>
      </c>
      <c r="N186" s="1">
        <f>+IF(DailyData[[#This Row],[Column2]]=0,0,DailyData[[#This Row],[Date]])</f>
        <v>0</v>
      </c>
    </row>
    <row r="187" spans="3:14" x14ac:dyDescent="0.25">
      <c r="C187" s="1">
        <v>45856</v>
      </c>
      <c r="D187" s="2" t="s">
        <v>10</v>
      </c>
      <c r="E187">
        <v>70000</v>
      </c>
      <c r="F187">
        <v>1.54</v>
      </c>
      <c r="G187">
        <v>1.5449999999999999</v>
      </c>
      <c r="H187">
        <v>1.52</v>
      </c>
      <c r="I187">
        <v>1.5349999999999999</v>
      </c>
      <c r="J187">
        <v>5435419</v>
      </c>
      <c r="K187">
        <v>107450</v>
      </c>
      <c r="L187">
        <f t="shared" si="3"/>
        <v>0</v>
      </c>
      <c r="M187">
        <f>+IF(DailyData[[#This Row],[Column1]]&gt;0,DailyData[[#This Row],[Column1]]-L174,0)</f>
        <v>0</v>
      </c>
      <c r="N187" s="1">
        <f>+IF(DailyData[[#This Row],[Column2]]=0,0,DailyData[[#This Row],[Date]])</f>
        <v>0</v>
      </c>
    </row>
    <row r="188" spans="3:14" x14ac:dyDescent="0.25">
      <c r="C188" s="1">
        <v>45856</v>
      </c>
      <c r="D188" s="2" t="s">
        <v>11</v>
      </c>
      <c r="E188">
        <v>57458</v>
      </c>
      <c r="F188">
        <v>0.66500000000000004</v>
      </c>
      <c r="G188">
        <v>0.71</v>
      </c>
      <c r="H188">
        <v>0.65500000000000003</v>
      </c>
      <c r="I188">
        <v>0.69</v>
      </c>
      <c r="J188">
        <v>438944</v>
      </c>
      <c r="K188">
        <v>39646.019999999997</v>
      </c>
      <c r="L188">
        <f t="shared" si="3"/>
        <v>0</v>
      </c>
      <c r="M188">
        <f>+IF(DailyData[[#This Row],[Column1]]&gt;0,DailyData[[#This Row],[Column1]]-L175,0)</f>
        <v>0</v>
      </c>
      <c r="N188" s="1">
        <f>+IF(DailyData[[#This Row],[Column2]]=0,0,DailyData[[#This Row],[Date]])</f>
        <v>0</v>
      </c>
    </row>
    <row r="189" spans="3:14" x14ac:dyDescent="0.25">
      <c r="C189" s="1">
        <v>45856</v>
      </c>
      <c r="D189" s="2" t="s">
        <v>12</v>
      </c>
      <c r="E189">
        <v>16361</v>
      </c>
      <c r="F189">
        <v>39.82</v>
      </c>
      <c r="G189">
        <v>40.4</v>
      </c>
      <c r="H189">
        <v>39.67</v>
      </c>
      <c r="I189">
        <v>40.29</v>
      </c>
      <c r="J189">
        <v>14757261</v>
      </c>
      <c r="K189">
        <v>659184.69999999995</v>
      </c>
      <c r="L189">
        <f t="shared" si="3"/>
        <v>0</v>
      </c>
      <c r="M189">
        <f>+IF(DailyData[[#This Row],[Column1]]&gt;0,DailyData[[#This Row],[Column1]]-L176,0)</f>
        <v>0</v>
      </c>
      <c r="N189" s="1">
        <f>+IF(DailyData[[#This Row],[Column2]]=0,0,DailyData[[#This Row],[Date]])</f>
        <v>0</v>
      </c>
    </row>
    <row r="190" spans="3:14" x14ac:dyDescent="0.25">
      <c r="C190" s="1">
        <v>45856</v>
      </c>
      <c r="D190" s="2" t="s">
        <v>13</v>
      </c>
      <c r="E190">
        <v>44090</v>
      </c>
      <c r="F190">
        <v>1.4999999999999999E-2</v>
      </c>
      <c r="G190">
        <v>1.4999999999999999E-2</v>
      </c>
      <c r="H190">
        <v>1.4999999999999999E-2</v>
      </c>
      <c r="I190">
        <v>1.4999999999999999E-2</v>
      </c>
      <c r="J190">
        <v>1352754</v>
      </c>
      <c r="K190">
        <v>661.35</v>
      </c>
      <c r="L190">
        <f t="shared" si="3"/>
        <v>0</v>
      </c>
      <c r="M190">
        <f>+IF(DailyData[[#This Row],[Column1]]&gt;0,DailyData[[#This Row],[Column1]]-L177,0)</f>
        <v>0</v>
      </c>
      <c r="N190" s="1">
        <f>+IF(DailyData[[#This Row],[Column2]]=0,0,DailyData[[#This Row],[Date]])</f>
        <v>0</v>
      </c>
    </row>
    <row r="191" spans="3:14" x14ac:dyDescent="0.25">
      <c r="C191" s="1">
        <v>45856</v>
      </c>
      <c r="D191" s="2" t="s">
        <v>14</v>
      </c>
      <c r="E191">
        <v>0</v>
      </c>
      <c r="F191">
        <v>180.48</v>
      </c>
      <c r="G191">
        <v>183.47</v>
      </c>
      <c r="H191">
        <v>180</v>
      </c>
      <c r="I191">
        <v>182.46</v>
      </c>
      <c r="J191">
        <v>3632614</v>
      </c>
      <c r="K191">
        <v>0</v>
      </c>
      <c r="L191">
        <f t="shared" si="3"/>
        <v>0</v>
      </c>
      <c r="M191">
        <f>+IF(DailyData[[#This Row],[Column1]]&gt;0,DailyData[[#This Row],[Column1]]-L178,0)</f>
        <v>0</v>
      </c>
      <c r="N191" s="1">
        <f>+IF(DailyData[[#This Row],[Column2]]=0,0,DailyData[[#This Row],[Date]])</f>
        <v>0</v>
      </c>
    </row>
    <row r="192" spans="3:14" x14ac:dyDescent="0.25">
      <c r="C192" s="1">
        <v>45856</v>
      </c>
      <c r="D192" s="2" t="s">
        <v>15</v>
      </c>
      <c r="E192">
        <v>10000</v>
      </c>
      <c r="F192">
        <v>0.435</v>
      </c>
      <c r="G192">
        <v>0.45500000000000002</v>
      </c>
      <c r="H192">
        <v>0.435</v>
      </c>
      <c r="I192">
        <v>0.44500000000000001</v>
      </c>
      <c r="J192">
        <v>187162</v>
      </c>
      <c r="K192">
        <v>4450</v>
      </c>
      <c r="L192">
        <f t="shared" si="3"/>
        <v>0</v>
      </c>
      <c r="M192">
        <f>+IF(DailyData[[#This Row],[Column1]]&gt;0,DailyData[[#This Row],[Column1]]-L179,0)</f>
        <v>0</v>
      </c>
      <c r="N192" s="1">
        <f>+IF(DailyData[[#This Row],[Column2]]=0,0,DailyData[[#This Row],[Date]])</f>
        <v>0</v>
      </c>
    </row>
    <row r="193" spans="3:14" x14ac:dyDescent="0.25">
      <c r="C193" s="1">
        <v>45856</v>
      </c>
      <c r="D193" s="2" t="s">
        <v>16</v>
      </c>
      <c r="E193">
        <v>20000</v>
      </c>
      <c r="F193">
        <v>0.22</v>
      </c>
      <c r="G193">
        <v>0.23499999999999999</v>
      </c>
      <c r="H193">
        <v>0.22</v>
      </c>
      <c r="I193">
        <v>0.23499999999999999</v>
      </c>
      <c r="J193">
        <v>18070</v>
      </c>
      <c r="K193">
        <v>4700</v>
      </c>
      <c r="L193">
        <f t="shared" si="3"/>
        <v>0</v>
      </c>
      <c r="M193">
        <f>+IF(DailyData[[#This Row],[Column1]]&gt;0,DailyData[[#This Row],[Column1]]-L180,0)</f>
        <v>0</v>
      </c>
      <c r="N193" s="1">
        <f>+IF(DailyData[[#This Row],[Column2]]=0,0,DailyData[[#This Row],[Date]])</f>
        <v>0</v>
      </c>
    </row>
    <row r="194" spans="3:14" x14ac:dyDescent="0.25">
      <c r="C194" s="1">
        <v>45856</v>
      </c>
      <c r="D194" s="2" t="s">
        <v>17</v>
      </c>
      <c r="E194">
        <v>700000</v>
      </c>
      <c r="F194">
        <v>3.0000000000000001E-3</v>
      </c>
      <c r="G194">
        <v>3.0000000000000001E-3</v>
      </c>
      <c r="H194">
        <v>2E-3</v>
      </c>
      <c r="I194">
        <v>2E-3</v>
      </c>
      <c r="J194">
        <v>1381174</v>
      </c>
      <c r="K194">
        <v>1750</v>
      </c>
      <c r="L194">
        <f t="shared" si="3"/>
        <v>0</v>
      </c>
      <c r="M194">
        <f>+IF(DailyData[[#This Row],[Column1]]&gt;0,DailyData[[#This Row],[Column1]]-L181,0)</f>
        <v>0</v>
      </c>
      <c r="N194" s="1">
        <f>+IF(DailyData[[#This Row],[Column2]]=0,0,DailyData[[#This Row],[Date]])</f>
        <v>0</v>
      </c>
    </row>
    <row r="195" spans="3:14" x14ac:dyDescent="0.25">
      <c r="C195" s="1">
        <v>45856</v>
      </c>
      <c r="D195" s="2" t="s">
        <v>18</v>
      </c>
      <c r="E195">
        <v>9412</v>
      </c>
      <c r="F195">
        <v>0.37</v>
      </c>
      <c r="G195">
        <v>0.38500000000000001</v>
      </c>
      <c r="H195">
        <v>0.36</v>
      </c>
      <c r="I195">
        <v>0.36</v>
      </c>
      <c r="J195">
        <v>474912</v>
      </c>
      <c r="K195">
        <v>3388.32</v>
      </c>
      <c r="L195">
        <f t="shared" si="3"/>
        <v>0</v>
      </c>
      <c r="M195">
        <f>+IF(DailyData[[#This Row],[Column1]]&gt;0,DailyData[[#This Row],[Column1]]-L182,0)</f>
        <v>0</v>
      </c>
      <c r="N195" s="1">
        <f>+IF(DailyData[[#This Row],[Column2]]=0,0,DailyData[[#This Row],[Date]])</f>
        <v>0</v>
      </c>
    </row>
    <row r="196" spans="3:14" x14ac:dyDescent="0.25">
      <c r="C196" s="1">
        <v>45856</v>
      </c>
      <c r="D196" s="2" t="s">
        <v>19</v>
      </c>
      <c r="E196">
        <v>6000</v>
      </c>
      <c r="F196">
        <v>0.11</v>
      </c>
      <c r="G196">
        <v>0.11</v>
      </c>
      <c r="H196">
        <v>0.105</v>
      </c>
      <c r="I196">
        <v>0.105</v>
      </c>
      <c r="J196">
        <v>99984</v>
      </c>
      <c r="K196">
        <v>630</v>
      </c>
      <c r="L196">
        <f t="shared" si="3"/>
        <v>0</v>
      </c>
      <c r="M196">
        <f>+IF(DailyData[[#This Row],[Column1]]&gt;0,DailyData[[#This Row],[Column1]]-L183,0)</f>
        <v>0</v>
      </c>
      <c r="N196" s="1">
        <f>+IF(DailyData[[#This Row],[Column2]]=0,0,DailyData[[#This Row],[Date]])</f>
        <v>0</v>
      </c>
    </row>
    <row r="197" spans="3:14" x14ac:dyDescent="0.25">
      <c r="C197" s="1">
        <v>45856</v>
      </c>
      <c r="D197" s="2" t="s">
        <v>20</v>
      </c>
      <c r="E197">
        <v>0</v>
      </c>
      <c r="F197">
        <v>33.68</v>
      </c>
      <c r="G197">
        <v>34.46</v>
      </c>
      <c r="H197">
        <v>33.659999999999997</v>
      </c>
      <c r="I197">
        <v>34.31</v>
      </c>
      <c r="J197">
        <v>5949786</v>
      </c>
      <c r="K197">
        <v>0</v>
      </c>
      <c r="L197">
        <f t="shared" si="3"/>
        <v>0</v>
      </c>
      <c r="M197">
        <f>+IF(DailyData[[#This Row],[Column1]]&gt;0,DailyData[[#This Row],[Column1]]-L184,0)</f>
        <v>0</v>
      </c>
      <c r="N197" s="1">
        <f>+IF(DailyData[[#This Row],[Column2]]=0,0,DailyData[[#This Row],[Date]])</f>
        <v>0</v>
      </c>
    </row>
    <row r="198" spans="3:14" x14ac:dyDescent="0.25">
      <c r="C198" s="1">
        <v>45856</v>
      </c>
      <c r="D198" s="2" t="s">
        <v>21</v>
      </c>
      <c r="E198">
        <v>1288</v>
      </c>
      <c r="F198">
        <v>24.36</v>
      </c>
      <c r="G198">
        <v>24.56</v>
      </c>
      <c r="H198">
        <v>24.225000000000001</v>
      </c>
      <c r="I198">
        <v>24.4</v>
      </c>
      <c r="J198">
        <v>4681095</v>
      </c>
      <c r="K198">
        <v>31427.200000000001</v>
      </c>
      <c r="L198">
        <f t="shared" si="3"/>
        <v>952855.23999999976</v>
      </c>
      <c r="M198">
        <f>+IF(DailyData[[#This Row],[Column1]]&gt;0,DailyData[[#This Row],[Column1]]-L185,0)</f>
        <v>21617.369999999879</v>
      </c>
      <c r="N198" s="1">
        <f>+IF(DailyData[[#This Row],[Column2]]=0,0,DailyData[[#This Row],[Date]])</f>
        <v>45856</v>
      </c>
    </row>
    <row r="199" spans="3:14" x14ac:dyDescent="0.25">
      <c r="C199" s="1">
        <v>45859</v>
      </c>
      <c r="D199" s="2" t="s">
        <v>9</v>
      </c>
      <c r="E199">
        <v>153181</v>
      </c>
      <c r="F199">
        <v>0.64500000000000002</v>
      </c>
      <c r="G199">
        <v>0.65200000000000002</v>
      </c>
      <c r="H199">
        <v>0.64</v>
      </c>
      <c r="I199">
        <v>0.65</v>
      </c>
      <c r="J199">
        <v>695905</v>
      </c>
      <c r="K199">
        <v>99567.65</v>
      </c>
      <c r="L199">
        <f t="shared" si="3"/>
        <v>0</v>
      </c>
      <c r="M199">
        <f>+IF(DailyData[[#This Row],[Column1]]&gt;0,DailyData[[#This Row],[Column1]]-L186,0)</f>
        <v>0</v>
      </c>
      <c r="N199" s="1">
        <f>+IF(DailyData[[#This Row],[Column2]]=0,0,DailyData[[#This Row],[Date]])</f>
        <v>0</v>
      </c>
    </row>
    <row r="200" spans="3:14" x14ac:dyDescent="0.25">
      <c r="C200" s="1">
        <v>45859</v>
      </c>
      <c r="D200" s="2" t="s">
        <v>10</v>
      </c>
      <c r="E200">
        <v>70000</v>
      </c>
      <c r="F200">
        <v>1.575</v>
      </c>
      <c r="G200">
        <v>1.6850000000000001</v>
      </c>
      <c r="H200">
        <v>1.575</v>
      </c>
      <c r="I200">
        <v>1.6850000000000001</v>
      </c>
      <c r="J200">
        <v>26074377</v>
      </c>
      <c r="K200">
        <v>117950</v>
      </c>
      <c r="L200">
        <f t="shared" si="3"/>
        <v>0</v>
      </c>
      <c r="M200">
        <f>+IF(DailyData[[#This Row],[Column1]]&gt;0,DailyData[[#This Row],[Column1]]-L187,0)</f>
        <v>0</v>
      </c>
      <c r="N200" s="1">
        <f>+IF(DailyData[[#This Row],[Column2]]=0,0,DailyData[[#This Row],[Date]])</f>
        <v>0</v>
      </c>
    </row>
    <row r="201" spans="3:14" x14ac:dyDescent="0.25">
      <c r="C201" s="1">
        <v>45859</v>
      </c>
      <c r="D201" s="2" t="s">
        <v>11</v>
      </c>
      <c r="E201">
        <v>57458</v>
      </c>
      <c r="F201">
        <v>0.66500000000000004</v>
      </c>
      <c r="G201">
        <v>0.72</v>
      </c>
      <c r="H201">
        <v>0.66500000000000004</v>
      </c>
      <c r="I201">
        <v>0.70499999999999996</v>
      </c>
      <c r="J201">
        <v>345296</v>
      </c>
      <c r="K201">
        <v>40507.89</v>
      </c>
      <c r="L201">
        <f t="shared" si="3"/>
        <v>0</v>
      </c>
      <c r="M201">
        <f>+IF(DailyData[[#This Row],[Column1]]&gt;0,DailyData[[#This Row],[Column1]]-L188,0)</f>
        <v>0</v>
      </c>
      <c r="N201" s="1">
        <f>+IF(DailyData[[#This Row],[Column2]]=0,0,DailyData[[#This Row],[Date]])</f>
        <v>0</v>
      </c>
    </row>
    <row r="202" spans="3:14" x14ac:dyDescent="0.25">
      <c r="C202" s="1">
        <v>45859</v>
      </c>
      <c r="D202" s="2" t="s">
        <v>12</v>
      </c>
      <c r="E202">
        <v>16361</v>
      </c>
      <c r="F202">
        <v>40</v>
      </c>
      <c r="G202">
        <v>40.75</v>
      </c>
      <c r="H202">
        <v>39.93</v>
      </c>
      <c r="I202">
        <v>40.46</v>
      </c>
      <c r="J202">
        <v>9694458</v>
      </c>
      <c r="K202">
        <v>661966.05000000005</v>
      </c>
      <c r="L202">
        <f t="shared" si="3"/>
        <v>0</v>
      </c>
      <c r="M202">
        <f>+IF(DailyData[[#This Row],[Column1]]&gt;0,DailyData[[#This Row],[Column1]]-L189,0)</f>
        <v>0</v>
      </c>
      <c r="N202" s="1">
        <f>+IF(DailyData[[#This Row],[Column2]]=0,0,DailyData[[#This Row],[Date]])</f>
        <v>0</v>
      </c>
    </row>
    <row r="203" spans="3:14" x14ac:dyDescent="0.25">
      <c r="C203" s="1">
        <v>45859</v>
      </c>
      <c r="D203" s="2" t="s">
        <v>13</v>
      </c>
      <c r="E203">
        <v>44090</v>
      </c>
      <c r="F203">
        <v>1.4999999999999999E-2</v>
      </c>
      <c r="G203">
        <v>1.4999999999999999E-2</v>
      </c>
      <c r="H203">
        <v>1.4999999999999999E-2</v>
      </c>
      <c r="I203">
        <v>1.4999999999999999E-2</v>
      </c>
      <c r="J203">
        <v>612401</v>
      </c>
      <c r="K203">
        <v>683.39</v>
      </c>
      <c r="L203">
        <f t="shared" si="3"/>
        <v>0</v>
      </c>
      <c r="M203">
        <f>+IF(DailyData[[#This Row],[Column1]]&gt;0,DailyData[[#This Row],[Column1]]-L190,0)</f>
        <v>0</v>
      </c>
      <c r="N203" s="1">
        <f>+IF(DailyData[[#This Row],[Column2]]=0,0,DailyData[[#This Row],[Date]])</f>
        <v>0</v>
      </c>
    </row>
    <row r="204" spans="3:14" x14ac:dyDescent="0.25">
      <c r="C204" s="1">
        <v>45859</v>
      </c>
      <c r="D204" s="2" t="s">
        <v>14</v>
      </c>
      <c r="E204">
        <v>0</v>
      </c>
      <c r="F204">
        <v>181.5</v>
      </c>
      <c r="G204">
        <v>181.6</v>
      </c>
      <c r="H204">
        <v>176.9</v>
      </c>
      <c r="I204">
        <v>177.87</v>
      </c>
      <c r="J204">
        <v>1341894</v>
      </c>
      <c r="K204">
        <v>0</v>
      </c>
      <c r="L204">
        <f t="shared" si="3"/>
        <v>0</v>
      </c>
      <c r="M204">
        <f>+IF(DailyData[[#This Row],[Column1]]&gt;0,DailyData[[#This Row],[Column1]]-L191,0)</f>
        <v>0</v>
      </c>
      <c r="N204" s="1">
        <f>+IF(DailyData[[#This Row],[Column2]]=0,0,DailyData[[#This Row],[Date]])</f>
        <v>0</v>
      </c>
    </row>
    <row r="205" spans="3:14" x14ac:dyDescent="0.25">
      <c r="C205" s="1">
        <v>45859</v>
      </c>
      <c r="D205" s="2" t="s">
        <v>15</v>
      </c>
      <c r="E205">
        <v>10000</v>
      </c>
      <c r="F205">
        <v>0.45</v>
      </c>
      <c r="G205">
        <v>0.45</v>
      </c>
      <c r="H205">
        <v>0.42</v>
      </c>
      <c r="I205">
        <v>0.43</v>
      </c>
      <c r="J205">
        <v>246122</v>
      </c>
      <c r="K205">
        <v>4300</v>
      </c>
      <c r="L205">
        <f t="shared" si="3"/>
        <v>0</v>
      </c>
      <c r="M205">
        <f>+IF(DailyData[[#This Row],[Column1]]&gt;0,DailyData[[#This Row],[Column1]]-L192,0)</f>
        <v>0</v>
      </c>
      <c r="N205" s="1">
        <f>+IF(DailyData[[#This Row],[Column2]]=0,0,DailyData[[#This Row],[Date]])</f>
        <v>0</v>
      </c>
    </row>
    <row r="206" spans="3:14" x14ac:dyDescent="0.25">
      <c r="C206" s="1">
        <v>45859</v>
      </c>
      <c r="D206" s="2" t="s">
        <v>16</v>
      </c>
      <c r="E206">
        <v>20000</v>
      </c>
      <c r="F206">
        <v>0.22500000000000001</v>
      </c>
      <c r="G206">
        <v>0.23</v>
      </c>
      <c r="H206">
        <v>0.22500000000000001</v>
      </c>
      <c r="I206">
        <v>0.23</v>
      </c>
      <c r="J206">
        <v>46597</v>
      </c>
      <c r="K206">
        <v>4600</v>
      </c>
      <c r="L206">
        <f t="shared" si="3"/>
        <v>0</v>
      </c>
      <c r="M206">
        <f>+IF(DailyData[[#This Row],[Column1]]&gt;0,DailyData[[#This Row],[Column1]]-L193,0)</f>
        <v>0</v>
      </c>
      <c r="N206" s="1">
        <f>+IF(DailyData[[#This Row],[Column2]]=0,0,DailyData[[#This Row],[Date]])</f>
        <v>0</v>
      </c>
    </row>
    <row r="207" spans="3:14" x14ac:dyDescent="0.25">
      <c r="C207" s="1">
        <v>45859</v>
      </c>
      <c r="D207" s="2" t="s">
        <v>17</v>
      </c>
      <c r="E207">
        <v>700000</v>
      </c>
      <c r="F207">
        <v>3.0000000000000001E-3</v>
      </c>
      <c r="G207">
        <v>3.0000000000000001E-3</v>
      </c>
      <c r="H207">
        <v>2E-3</v>
      </c>
      <c r="I207">
        <v>2E-3</v>
      </c>
      <c r="J207">
        <v>560446</v>
      </c>
      <c r="K207">
        <v>1750</v>
      </c>
      <c r="L207">
        <f t="shared" si="3"/>
        <v>0</v>
      </c>
      <c r="M207">
        <f>+IF(DailyData[[#This Row],[Column1]]&gt;0,DailyData[[#This Row],[Column1]]-L194,0)</f>
        <v>0</v>
      </c>
      <c r="N207" s="1">
        <f>+IF(DailyData[[#This Row],[Column2]]=0,0,DailyData[[#This Row],[Date]])</f>
        <v>0</v>
      </c>
    </row>
    <row r="208" spans="3:14" x14ac:dyDescent="0.25">
      <c r="C208" s="1">
        <v>45859</v>
      </c>
      <c r="D208" s="2" t="s">
        <v>18</v>
      </c>
      <c r="E208">
        <v>9412</v>
      </c>
      <c r="F208">
        <v>0.37</v>
      </c>
      <c r="G208">
        <v>0.38</v>
      </c>
      <c r="H208">
        <v>0.36</v>
      </c>
      <c r="I208">
        <v>0.37</v>
      </c>
      <c r="J208">
        <v>164549</v>
      </c>
      <c r="K208">
        <v>3482.44</v>
      </c>
      <c r="L208">
        <f t="shared" si="3"/>
        <v>0</v>
      </c>
      <c r="M208">
        <f>+IF(DailyData[[#This Row],[Column1]]&gt;0,DailyData[[#This Row],[Column1]]-L195,0)</f>
        <v>0</v>
      </c>
      <c r="N208" s="1">
        <f>+IF(DailyData[[#This Row],[Column2]]=0,0,DailyData[[#This Row],[Date]])</f>
        <v>0</v>
      </c>
    </row>
    <row r="209" spans="3:14" x14ac:dyDescent="0.25">
      <c r="C209" s="1">
        <v>45859</v>
      </c>
      <c r="D209" s="2" t="s">
        <v>19</v>
      </c>
      <c r="E209">
        <v>6000</v>
      </c>
      <c r="F209">
        <v>0.105</v>
      </c>
      <c r="G209">
        <v>0.105</v>
      </c>
      <c r="H209">
        <v>0.1</v>
      </c>
      <c r="I209">
        <v>0.1</v>
      </c>
      <c r="J209">
        <v>106096</v>
      </c>
      <c r="K209">
        <v>600</v>
      </c>
      <c r="L209">
        <f t="shared" ref="L209:L272" si="4">+IF(C210&lt;&gt;C209,SUM(K197:K209),0)</f>
        <v>0</v>
      </c>
      <c r="M209">
        <f>+IF(DailyData[[#This Row],[Column1]]&gt;0,DailyData[[#This Row],[Column1]]-L196,0)</f>
        <v>0</v>
      </c>
      <c r="N209" s="1">
        <f>+IF(DailyData[[#This Row],[Column2]]=0,0,DailyData[[#This Row],[Date]])</f>
        <v>0</v>
      </c>
    </row>
    <row r="210" spans="3:14" x14ac:dyDescent="0.25">
      <c r="C210" s="1">
        <v>45859</v>
      </c>
      <c r="D210" s="2" t="s">
        <v>20</v>
      </c>
      <c r="E210">
        <v>0</v>
      </c>
      <c r="F210">
        <v>34.03</v>
      </c>
      <c r="G210">
        <v>34.094999999999999</v>
      </c>
      <c r="H210">
        <v>32.94</v>
      </c>
      <c r="I210">
        <v>33.07</v>
      </c>
      <c r="J210">
        <v>4300889</v>
      </c>
      <c r="K210">
        <v>0</v>
      </c>
      <c r="L210">
        <f t="shared" si="4"/>
        <v>0</v>
      </c>
      <c r="M210">
        <f>+IF(DailyData[[#This Row],[Column1]]&gt;0,DailyData[[#This Row],[Column1]]-L197,0)</f>
        <v>0</v>
      </c>
      <c r="N210" s="1">
        <f>+IF(DailyData[[#This Row],[Column2]]=0,0,DailyData[[#This Row],[Date]])</f>
        <v>0</v>
      </c>
    </row>
    <row r="211" spans="3:14" x14ac:dyDescent="0.25">
      <c r="C211" s="1">
        <v>45859</v>
      </c>
      <c r="D211" s="2" t="s">
        <v>21</v>
      </c>
      <c r="E211">
        <v>1288</v>
      </c>
      <c r="F211">
        <v>24.3</v>
      </c>
      <c r="G211">
        <v>24.75</v>
      </c>
      <c r="H211">
        <v>24.25</v>
      </c>
      <c r="I211">
        <v>24.75</v>
      </c>
      <c r="J211">
        <v>1822119</v>
      </c>
      <c r="K211">
        <v>31878</v>
      </c>
      <c r="L211">
        <f t="shared" si="4"/>
        <v>967285.42</v>
      </c>
      <c r="M211">
        <f>+IF(DailyData[[#This Row],[Column1]]&gt;0,DailyData[[#This Row],[Column1]]-L198,0)</f>
        <v>14430.180000000284</v>
      </c>
      <c r="N211" s="1">
        <f>+IF(DailyData[[#This Row],[Column2]]=0,0,DailyData[[#This Row],[Date]])</f>
        <v>45859</v>
      </c>
    </row>
    <row r="212" spans="3:14" x14ac:dyDescent="0.25">
      <c r="C212" s="1">
        <v>45860</v>
      </c>
      <c r="D212" s="2" t="s">
        <v>9</v>
      </c>
      <c r="E212">
        <v>153181</v>
      </c>
      <c r="F212">
        <v>0.66500000000000004</v>
      </c>
      <c r="G212">
        <v>0.67500000000000004</v>
      </c>
      <c r="H212">
        <v>0.65500000000000003</v>
      </c>
      <c r="I212">
        <v>0.65500000000000003</v>
      </c>
      <c r="J212">
        <v>2373037</v>
      </c>
      <c r="K212">
        <v>100333.55</v>
      </c>
      <c r="L212">
        <f t="shared" si="4"/>
        <v>0</v>
      </c>
      <c r="M212">
        <f>+IF(DailyData[[#This Row],[Column1]]&gt;0,DailyData[[#This Row],[Column1]]-L199,0)</f>
        <v>0</v>
      </c>
      <c r="N212" s="1">
        <f>+IF(DailyData[[#This Row],[Column2]]=0,0,DailyData[[#This Row],[Date]])</f>
        <v>0</v>
      </c>
    </row>
    <row r="213" spans="3:14" x14ac:dyDescent="0.25">
      <c r="C213" s="1">
        <v>45860</v>
      </c>
      <c r="D213" s="2" t="s">
        <v>10</v>
      </c>
      <c r="E213">
        <v>70000</v>
      </c>
      <c r="F213">
        <v>1.655</v>
      </c>
      <c r="G213">
        <v>1.69</v>
      </c>
      <c r="H213">
        <v>1.605</v>
      </c>
      <c r="I213">
        <v>1.6850000000000001</v>
      </c>
      <c r="J213">
        <v>12385766</v>
      </c>
      <c r="K213">
        <v>117950</v>
      </c>
      <c r="L213">
        <f t="shared" si="4"/>
        <v>0</v>
      </c>
      <c r="M213">
        <f>+IF(DailyData[[#This Row],[Column1]]&gt;0,DailyData[[#This Row],[Column1]]-L200,0)</f>
        <v>0</v>
      </c>
      <c r="N213" s="1">
        <f>+IF(DailyData[[#This Row],[Column2]]=0,0,DailyData[[#This Row],[Date]])</f>
        <v>0</v>
      </c>
    </row>
    <row r="214" spans="3:14" x14ac:dyDescent="0.25">
      <c r="C214" s="1">
        <v>45860</v>
      </c>
      <c r="D214" s="2" t="s">
        <v>11</v>
      </c>
      <c r="E214">
        <v>57458</v>
      </c>
      <c r="F214">
        <v>0.71</v>
      </c>
      <c r="G214">
        <v>0.71</v>
      </c>
      <c r="H214">
        <v>0.68</v>
      </c>
      <c r="I214">
        <v>0.68500000000000005</v>
      </c>
      <c r="J214">
        <v>382851</v>
      </c>
      <c r="K214">
        <v>39358.730000000003</v>
      </c>
      <c r="L214">
        <f t="shared" si="4"/>
        <v>0</v>
      </c>
      <c r="M214">
        <f>+IF(DailyData[[#This Row],[Column1]]&gt;0,DailyData[[#This Row],[Column1]]-L201,0)</f>
        <v>0</v>
      </c>
      <c r="N214" s="1">
        <f>+IF(DailyData[[#This Row],[Column2]]=0,0,DailyData[[#This Row],[Date]])</f>
        <v>0</v>
      </c>
    </row>
    <row r="215" spans="3:14" x14ac:dyDescent="0.25">
      <c r="C215" s="1">
        <v>45860</v>
      </c>
      <c r="D215" s="2" t="s">
        <v>12</v>
      </c>
      <c r="E215">
        <v>16361</v>
      </c>
      <c r="F215">
        <v>40.89</v>
      </c>
      <c r="G215">
        <v>41.69</v>
      </c>
      <c r="H215">
        <v>40.770000000000003</v>
      </c>
      <c r="I215">
        <v>41.51</v>
      </c>
      <c r="J215">
        <v>11430702</v>
      </c>
      <c r="K215">
        <v>679145.08</v>
      </c>
      <c r="L215">
        <f t="shared" si="4"/>
        <v>0</v>
      </c>
      <c r="M215">
        <f>+IF(DailyData[[#This Row],[Column1]]&gt;0,DailyData[[#This Row],[Column1]]-L202,0)</f>
        <v>0</v>
      </c>
      <c r="N215" s="1">
        <f>+IF(DailyData[[#This Row],[Column2]]=0,0,DailyData[[#This Row],[Date]])</f>
        <v>0</v>
      </c>
    </row>
    <row r="216" spans="3:14" x14ac:dyDescent="0.25">
      <c r="C216" s="1">
        <v>45860</v>
      </c>
      <c r="D216" s="2" t="s">
        <v>13</v>
      </c>
      <c r="E216">
        <v>44090</v>
      </c>
      <c r="F216">
        <v>1.4999999999999999E-2</v>
      </c>
      <c r="G216">
        <v>1.4999999999999999E-2</v>
      </c>
      <c r="H216">
        <v>1.4E-2</v>
      </c>
      <c r="I216">
        <v>1.4999999999999999E-2</v>
      </c>
      <c r="J216">
        <v>821604</v>
      </c>
      <c r="K216">
        <v>661.35</v>
      </c>
      <c r="L216">
        <f t="shared" si="4"/>
        <v>0</v>
      </c>
      <c r="M216">
        <f>+IF(DailyData[[#This Row],[Column1]]&gt;0,DailyData[[#This Row],[Column1]]-L203,0)</f>
        <v>0</v>
      </c>
      <c r="N216" s="1">
        <f>+IF(DailyData[[#This Row],[Column2]]=0,0,DailyData[[#This Row],[Date]])</f>
        <v>0</v>
      </c>
    </row>
    <row r="217" spans="3:14" x14ac:dyDescent="0.25">
      <c r="C217" s="1">
        <v>45860</v>
      </c>
      <c r="D217" s="2" t="s">
        <v>14</v>
      </c>
      <c r="E217">
        <v>0</v>
      </c>
      <c r="F217">
        <v>177.89</v>
      </c>
      <c r="G217">
        <v>177.99</v>
      </c>
      <c r="H217">
        <v>171.55</v>
      </c>
      <c r="I217">
        <v>172.42</v>
      </c>
      <c r="J217">
        <v>2384136</v>
      </c>
      <c r="K217">
        <v>0</v>
      </c>
      <c r="L217">
        <f t="shared" si="4"/>
        <v>0</v>
      </c>
      <c r="M217">
        <f>+IF(DailyData[[#This Row],[Column1]]&gt;0,DailyData[[#This Row],[Column1]]-L204,0)</f>
        <v>0</v>
      </c>
      <c r="N217" s="1">
        <f>+IF(DailyData[[#This Row],[Column2]]=0,0,DailyData[[#This Row],[Date]])</f>
        <v>0</v>
      </c>
    </row>
    <row r="218" spans="3:14" x14ac:dyDescent="0.25">
      <c r="C218" s="1">
        <v>45860</v>
      </c>
      <c r="D218" s="2" t="s">
        <v>15</v>
      </c>
      <c r="E218">
        <v>10000</v>
      </c>
      <c r="F218">
        <v>0.42</v>
      </c>
      <c r="G218">
        <v>0.42</v>
      </c>
      <c r="H218">
        <v>0.41499999999999998</v>
      </c>
      <c r="I218">
        <v>0.42</v>
      </c>
      <c r="J218">
        <v>50914</v>
      </c>
      <c r="K218">
        <v>4200</v>
      </c>
      <c r="L218">
        <f t="shared" si="4"/>
        <v>0</v>
      </c>
      <c r="M218">
        <f>+IF(DailyData[[#This Row],[Column1]]&gt;0,DailyData[[#This Row],[Column1]]-L205,0)</f>
        <v>0</v>
      </c>
      <c r="N218" s="1">
        <f>+IF(DailyData[[#This Row],[Column2]]=0,0,DailyData[[#This Row],[Date]])</f>
        <v>0</v>
      </c>
    </row>
    <row r="219" spans="3:14" x14ac:dyDescent="0.25">
      <c r="C219" s="1">
        <v>45860</v>
      </c>
      <c r="D219" s="2" t="s">
        <v>16</v>
      </c>
      <c r="E219">
        <v>20000</v>
      </c>
      <c r="F219">
        <v>0.23</v>
      </c>
      <c r="G219">
        <v>0.23499999999999999</v>
      </c>
      <c r="H219">
        <v>0.22500000000000001</v>
      </c>
      <c r="I219">
        <v>0.23499999999999999</v>
      </c>
      <c r="J219">
        <v>194547</v>
      </c>
      <c r="K219">
        <v>4700</v>
      </c>
      <c r="L219">
        <f t="shared" si="4"/>
        <v>0</v>
      </c>
      <c r="M219">
        <f>+IF(DailyData[[#This Row],[Column1]]&gt;0,DailyData[[#This Row],[Column1]]-L206,0)</f>
        <v>0</v>
      </c>
      <c r="N219" s="1">
        <f>+IF(DailyData[[#This Row],[Column2]]=0,0,DailyData[[#This Row],[Date]])</f>
        <v>0</v>
      </c>
    </row>
    <row r="220" spans="3:14" x14ac:dyDescent="0.25">
      <c r="C220" s="1">
        <v>45860</v>
      </c>
      <c r="D220" s="2" t="s">
        <v>17</v>
      </c>
      <c r="E220">
        <v>700000</v>
      </c>
      <c r="F220">
        <v>2E-3</v>
      </c>
      <c r="G220">
        <v>2E-3</v>
      </c>
      <c r="H220">
        <v>2E-3</v>
      </c>
      <c r="I220">
        <v>2E-3</v>
      </c>
      <c r="J220">
        <v>684248</v>
      </c>
      <c r="K220">
        <v>1750</v>
      </c>
      <c r="L220">
        <f t="shared" si="4"/>
        <v>0</v>
      </c>
      <c r="M220">
        <f>+IF(DailyData[[#This Row],[Column1]]&gt;0,DailyData[[#This Row],[Column1]]-L207,0)</f>
        <v>0</v>
      </c>
      <c r="N220" s="1">
        <f>+IF(DailyData[[#This Row],[Column2]]=0,0,DailyData[[#This Row],[Date]])</f>
        <v>0</v>
      </c>
    </row>
    <row r="221" spans="3:14" x14ac:dyDescent="0.25">
      <c r="C221" s="1">
        <v>45860</v>
      </c>
      <c r="D221" s="2" t="s">
        <v>18</v>
      </c>
      <c r="E221">
        <v>9412</v>
      </c>
      <c r="F221">
        <v>0.37</v>
      </c>
      <c r="G221">
        <v>0.38</v>
      </c>
      <c r="H221">
        <v>0.37</v>
      </c>
      <c r="I221">
        <v>0.37</v>
      </c>
      <c r="J221">
        <v>10435</v>
      </c>
      <c r="K221">
        <v>3482.44</v>
      </c>
      <c r="L221">
        <f t="shared" si="4"/>
        <v>0</v>
      </c>
      <c r="M221">
        <f>+IF(DailyData[[#This Row],[Column1]]&gt;0,DailyData[[#This Row],[Column1]]-L208,0)</f>
        <v>0</v>
      </c>
      <c r="N221" s="1">
        <f>+IF(DailyData[[#This Row],[Column2]]=0,0,DailyData[[#This Row],[Date]])</f>
        <v>0</v>
      </c>
    </row>
    <row r="222" spans="3:14" x14ac:dyDescent="0.25">
      <c r="C222" s="1">
        <v>45860</v>
      </c>
      <c r="D222" s="2" t="s">
        <v>19</v>
      </c>
      <c r="E222">
        <v>6000</v>
      </c>
      <c r="F222">
        <v>0.1</v>
      </c>
      <c r="G222">
        <v>0.105</v>
      </c>
      <c r="H222">
        <v>0.1</v>
      </c>
      <c r="I222">
        <v>0.105</v>
      </c>
      <c r="J222">
        <v>88650</v>
      </c>
      <c r="K222">
        <v>630</v>
      </c>
      <c r="L222">
        <f t="shared" si="4"/>
        <v>0</v>
      </c>
      <c r="M222">
        <f>+IF(DailyData[[#This Row],[Column1]]&gt;0,DailyData[[#This Row],[Column1]]-L209,0)</f>
        <v>0</v>
      </c>
      <c r="N222" s="1">
        <f>+IF(DailyData[[#This Row],[Column2]]=0,0,DailyData[[#This Row],[Date]])</f>
        <v>0</v>
      </c>
    </row>
    <row r="223" spans="3:14" x14ac:dyDescent="0.25">
      <c r="C223" s="1">
        <v>45860</v>
      </c>
      <c r="D223" s="2" t="s">
        <v>20</v>
      </c>
      <c r="E223">
        <v>0</v>
      </c>
      <c r="F223">
        <v>33.119999999999997</v>
      </c>
      <c r="G223">
        <v>33.29</v>
      </c>
      <c r="H223">
        <v>32.380000000000003</v>
      </c>
      <c r="I223">
        <v>32.65</v>
      </c>
      <c r="J223">
        <v>6001355</v>
      </c>
      <c r="K223">
        <v>0</v>
      </c>
      <c r="L223">
        <f t="shared" si="4"/>
        <v>0</v>
      </c>
      <c r="M223">
        <f>+IF(DailyData[[#This Row],[Column1]]&gt;0,DailyData[[#This Row],[Column1]]-L210,0)</f>
        <v>0</v>
      </c>
      <c r="N223" s="1">
        <f>+IF(DailyData[[#This Row],[Column2]]=0,0,DailyData[[#This Row],[Date]])</f>
        <v>0</v>
      </c>
    </row>
    <row r="224" spans="3:14" x14ac:dyDescent="0.25">
      <c r="C224" s="1">
        <v>45860</v>
      </c>
      <c r="D224" s="2" t="s">
        <v>21</v>
      </c>
      <c r="E224">
        <v>1288</v>
      </c>
      <c r="F224">
        <v>24.58</v>
      </c>
      <c r="G224">
        <v>24.85</v>
      </c>
      <c r="H224">
        <v>24.41</v>
      </c>
      <c r="I224">
        <v>24.85</v>
      </c>
      <c r="J224">
        <v>3294709</v>
      </c>
      <c r="K224">
        <v>32006.799999999999</v>
      </c>
      <c r="L224">
        <f t="shared" si="4"/>
        <v>984217.95</v>
      </c>
      <c r="M224">
        <f>+IF(DailyData[[#This Row],[Column1]]&gt;0,DailyData[[#This Row],[Column1]]-L211,0)</f>
        <v>16932.529999999912</v>
      </c>
      <c r="N224" s="1">
        <f>+IF(DailyData[[#This Row],[Column2]]=0,0,DailyData[[#This Row],[Date]])</f>
        <v>45860</v>
      </c>
    </row>
    <row r="225" spans="3:14" x14ac:dyDescent="0.25">
      <c r="C225" s="1">
        <v>45861</v>
      </c>
      <c r="D225" s="2" t="s">
        <v>9</v>
      </c>
      <c r="E225">
        <v>153181</v>
      </c>
      <c r="F225">
        <v>0.67500000000000004</v>
      </c>
      <c r="G225">
        <v>0.70499999999999996</v>
      </c>
      <c r="H225">
        <v>0.66500000000000004</v>
      </c>
      <c r="I225">
        <v>0.69</v>
      </c>
      <c r="J225">
        <v>2816599</v>
      </c>
      <c r="K225">
        <v>105694.89</v>
      </c>
      <c r="L225">
        <f t="shared" si="4"/>
        <v>0</v>
      </c>
      <c r="M225">
        <f>+IF(DailyData[[#This Row],[Column1]]&gt;0,DailyData[[#This Row],[Column1]]-L212,0)</f>
        <v>0</v>
      </c>
      <c r="N225" s="1">
        <f>+IF(DailyData[[#This Row],[Column2]]=0,0,DailyData[[#This Row],[Date]])</f>
        <v>0</v>
      </c>
    </row>
    <row r="226" spans="3:14" x14ac:dyDescent="0.25">
      <c r="C226" s="1">
        <v>45861</v>
      </c>
      <c r="D226" s="2" t="s">
        <v>10</v>
      </c>
      <c r="E226">
        <v>70000</v>
      </c>
      <c r="F226">
        <v>1.69</v>
      </c>
      <c r="G226">
        <v>1.6919999999999999</v>
      </c>
      <c r="H226">
        <v>1.64</v>
      </c>
      <c r="I226">
        <v>1.655</v>
      </c>
      <c r="J226">
        <v>9605622</v>
      </c>
      <c r="K226">
        <v>115850</v>
      </c>
      <c r="L226">
        <f t="shared" si="4"/>
        <v>0</v>
      </c>
      <c r="M226">
        <f>+IF(DailyData[[#This Row],[Column1]]&gt;0,DailyData[[#This Row],[Column1]]-L213,0)</f>
        <v>0</v>
      </c>
      <c r="N226" s="1">
        <f>+IF(DailyData[[#This Row],[Column2]]=0,0,DailyData[[#This Row],[Date]])</f>
        <v>0</v>
      </c>
    </row>
    <row r="227" spans="3:14" x14ac:dyDescent="0.25">
      <c r="C227" s="1">
        <v>45861</v>
      </c>
      <c r="D227" s="2" t="s">
        <v>11</v>
      </c>
      <c r="E227">
        <v>57458</v>
      </c>
      <c r="F227">
        <v>0.68500000000000005</v>
      </c>
      <c r="G227">
        <v>0.77500000000000002</v>
      </c>
      <c r="H227">
        <v>0.68500000000000005</v>
      </c>
      <c r="I227">
        <v>0.72</v>
      </c>
      <c r="J227">
        <v>1156595</v>
      </c>
      <c r="K227">
        <v>41369.760000000002</v>
      </c>
      <c r="L227">
        <f t="shared" si="4"/>
        <v>0</v>
      </c>
      <c r="M227">
        <f>+IF(DailyData[[#This Row],[Column1]]&gt;0,DailyData[[#This Row],[Column1]]-L214,0)</f>
        <v>0</v>
      </c>
      <c r="N227" s="1">
        <f>+IF(DailyData[[#This Row],[Column2]]=0,0,DailyData[[#This Row],[Date]])</f>
        <v>0</v>
      </c>
    </row>
    <row r="228" spans="3:14" x14ac:dyDescent="0.25">
      <c r="C228" s="1">
        <v>45861</v>
      </c>
      <c r="D228" s="2" t="s">
        <v>12</v>
      </c>
      <c r="E228">
        <v>16361</v>
      </c>
      <c r="F228">
        <v>41.86</v>
      </c>
      <c r="G228">
        <v>42.39</v>
      </c>
      <c r="H228">
        <v>41.81</v>
      </c>
      <c r="I228">
        <v>41.85</v>
      </c>
      <c r="J228">
        <v>9875107</v>
      </c>
      <c r="K228">
        <v>684707.83</v>
      </c>
      <c r="L228">
        <f t="shared" si="4"/>
        <v>0</v>
      </c>
      <c r="M228">
        <f>+IF(DailyData[[#This Row],[Column1]]&gt;0,DailyData[[#This Row],[Column1]]-L215,0)</f>
        <v>0</v>
      </c>
      <c r="N228" s="1">
        <f>+IF(DailyData[[#This Row],[Column2]]=0,0,DailyData[[#This Row],[Date]])</f>
        <v>0</v>
      </c>
    </row>
    <row r="229" spans="3:14" x14ac:dyDescent="0.25">
      <c r="C229" s="1">
        <v>45861</v>
      </c>
      <c r="D229" s="2" t="s">
        <v>13</v>
      </c>
      <c r="E229">
        <v>44090</v>
      </c>
      <c r="F229">
        <v>1.4999999999999999E-2</v>
      </c>
      <c r="G229">
        <v>1.4999999999999999E-2</v>
      </c>
      <c r="H229">
        <v>1.4E-2</v>
      </c>
      <c r="I229">
        <v>1.4999999999999999E-2</v>
      </c>
      <c r="J229">
        <v>171081</v>
      </c>
      <c r="K229">
        <v>661.35</v>
      </c>
      <c r="L229">
        <f t="shared" si="4"/>
        <v>0</v>
      </c>
      <c r="M229">
        <f>+IF(DailyData[[#This Row],[Column1]]&gt;0,DailyData[[#This Row],[Column1]]-L216,0)</f>
        <v>0</v>
      </c>
      <c r="N229" s="1">
        <f>+IF(DailyData[[#This Row],[Column2]]=0,0,DailyData[[#This Row],[Date]])</f>
        <v>0</v>
      </c>
    </row>
    <row r="230" spans="3:14" x14ac:dyDescent="0.25">
      <c r="C230" s="1">
        <v>45861</v>
      </c>
      <c r="D230" s="2" t="s">
        <v>14</v>
      </c>
      <c r="E230">
        <v>0</v>
      </c>
      <c r="F230">
        <v>172.59</v>
      </c>
      <c r="G230">
        <v>173.85</v>
      </c>
      <c r="H230">
        <v>170.67</v>
      </c>
      <c r="I230">
        <v>173.3</v>
      </c>
      <c r="J230">
        <v>2172774</v>
      </c>
      <c r="K230">
        <v>0</v>
      </c>
      <c r="L230">
        <f t="shared" si="4"/>
        <v>0</v>
      </c>
      <c r="M230">
        <f>+IF(DailyData[[#This Row],[Column1]]&gt;0,DailyData[[#This Row],[Column1]]-L217,0)</f>
        <v>0</v>
      </c>
      <c r="N230" s="1">
        <f>+IF(DailyData[[#This Row],[Column2]]=0,0,DailyData[[#This Row],[Date]])</f>
        <v>0</v>
      </c>
    </row>
    <row r="231" spans="3:14" x14ac:dyDescent="0.25">
      <c r="C231" s="1">
        <v>45861</v>
      </c>
      <c r="D231" s="2" t="s">
        <v>15</v>
      </c>
      <c r="E231">
        <v>10000</v>
      </c>
      <c r="F231">
        <v>0.42</v>
      </c>
      <c r="G231">
        <v>0.42</v>
      </c>
      <c r="H231">
        <v>0.41499999999999998</v>
      </c>
      <c r="I231">
        <v>0.42</v>
      </c>
      <c r="J231">
        <v>37295</v>
      </c>
      <c r="K231">
        <v>4200</v>
      </c>
      <c r="L231">
        <f t="shared" si="4"/>
        <v>0</v>
      </c>
      <c r="M231">
        <f>+IF(DailyData[[#This Row],[Column1]]&gt;0,DailyData[[#This Row],[Column1]]-L218,0)</f>
        <v>0</v>
      </c>
      <c r="N231" s="1">
        <f>+IF(DailyData[[#This Row],[Column2]]=0,0,DailyData[[#This Row],[Date]])</f>
        <v>0</v>
      </c>
    </row>
    <row r="232" spans="3:14" x14ac:dyDescent="0.25">
      <c r="C232" s="1">
        <v>45861</v>
      </c>
      <c r="D232" s="2" t="s">
        <v>16</v>
      </c>
      <c r="E232">
        <v>20000</v>
      </c>
      <c r="F232">
        <v>0.23499999999999999</v>
      </c>
      <c r="G232">
        <v>0.26</v>
      </c>
      <c r="H232">
        <v>0.23499999999999999</v>
      </c>
      <c r="I232">
        <v>0.26</v>
      </c>
      <c r="J232">
        <v>290662</v>
      </c>
      <c r="K232">
        <v>5200</v>
      </c>
      <c r="L232">
        <f t="shared" si="4"/>
        <v>0</v>
      </c>
      <c r="M232">
        <f>+IF(DailyData[[#This Row],[Column1]]&gt;0,DailyData[[#This Row],[Column1]]-L219,0)</f>
        <v>0</v>
      </c>
      <c r="N232" s="1">
        <f>+IF(DailyData[[#This Row],[Column2]]=0,0,DailyData[[#This Row],[Date]])</f>
        <v>0</v>
      </c>
    </row>
    <row r="233" spans="3:14" x14ac:dyDescent="0.25">
      <c r="C233" s="1">
        <v>45861</v>
      </c>
      <c r="D233" s="2" t="s">
        <v>17</v>
      </c>
      <c r="E233">
        <v>700000</v>
      </c>
      <c r="F233">
        <v>2E-3</v>
      </c>
      <c r="G233">
        <v>2E-3</v>
      </c>
      <c r="H233">
        <v>2E-3</v>
      </c>
      <c r="I233">
        <v>2E-3</v>
      </c>
      <c r="J233">
        <v>97999</v>
      </c>
      <c r="K233">
        <v>1750</v>
      </c>
      <c r="L233">
        <f t="shared" si="4"/>
        <v>0</v>
      </c>
      <c r="M233">
        <f>+IF(DailyData[[#This Row],[Column1]]&gt;0,DailyData[[#This Row],[Column1]]-L220,0)</f>
        <v>0</v>
      </c>
      <c r="N233" s="1">
        <f>+IF(DailyData[[#This Row],[Column2]]=0,0,DailyData[[#This Row],[Date]])</f>
        <v>0</v>
      </c>
    </row>
    <row r="234" spans="3:14" x14ac:dyDescent="0.25">
      <c r="C234" s="1">
        <v>45861</v>
      </c>
      <c r="D234" s="2" t="s">
        <v>18</v>
      </c>
      <c r="E234">
        <v>9412</v>
      </c>
      <c r="F234">
        <v>0.38</v>
      </c>
      <c r="G234">
        <v>0.38500000000000001</v>
      </c>
      <c r="H234">
        <v>0.37</v>
      </c>
      <c r="I234">
        <v>0.38</v>
      </c>
      <c r="J234">
        <v>434216</v>
      </c>
      <c r="K234">
        <v>3576.56</v>
      </c>
      <c r="L234">
        <f t="shared" si="4"/>
        <v>0</v>
      </c>
      <c r="M234">
        <f>+IF(DailyData[[#This Row],[Column1]]&gt;0,DailyData[[#This Row],[Column1]]-L221,0)</f>
        <v>0</v>
      </c>
      <c r="N234" s="1">
        <f>+IF(DailyData[[#This Row],[Column2]]=0,0,DailyData[[#This Row],[Date]])</f>
        <v>0</v>
      </c>
    </row>
    <row r="235" spans="3:14" x14ac:dyDescent="0.25">
      <c r="C235" s="1">
        <v>45861</v>
      </c>
      <c r="D235" s="2" t="s">
        <v>19</v>
      </c>
      <c r="E235">
        <v>6000</v>
      </c>
      <c r="F235">
        <v>0.105</v>
      </c>
      <c r="G235">
        <v>0.11</v>
      </c>
      <c r="H235">
        <v>0.105</v>
      </c>
      <c r="I235">
        <v>0.11</v>
      </c>
      <c r="J235">
        <v>122484</v>
      </c>
      <c r="K235">
        <v>660</v>
      </c>
      <c r="L235">
        <f t="shared" si="4"/>
        <v>0</v>
      </c>
      <c r="M235">
        <f>+IF(DailyData[[#This Row],[Column1]]&gt;0,DailyData[[#This Row],[Column1]]-L222,0)</f>
        <v>0</v>
      </c>
      <c r="N235" s="1">
        <f>+IF(DailyData[[#This Row],[Column2]]=0,0,DailyData[[#This Row],[Date]])</f>
        <v>0</v>
      </c>
    </row>
    <row r="236" spans="3:14" x14ac:dyDescent="0.25">
      <c r="C236" s="1">
        <v>45861</v>
      </c>
      <c r="D236" s="2" t="s">
        <v>20</v>
      </c>
      <c r="E236">
        <v>0</v>
      </c>
      <c r="F236">
        <v>32.869999999999997</v>
      </c>
      <c r="G236">
        <v>33.229999999999997</v>
      </c>
      <c r="H236">
        <v>32.549999999999997</v>
      </c>
      <c r="I236">
        <v>33.11</v>
      </c>
      <c r="J236">
        <v>4023281</v>
      </c>
      <c r="K236">
        <v>0</v>
      </c>
      <c r="L236">
        <f t="shared" si="4"/>
        <v>0</v>
      </c>
      <c r="M236">
        <f>+IF(DailyData[[#This Row],[Column1]]&gt;0,DailyData[[#This Row],[Column1]]-L223,0)</f>
        <v>0</v>
      </c>
      <c r="N236" s="1">
        <f>+IF(DailyData[[#This Row],[Column2]]=0,0,DailyData[[#This Row],[Date]])</f>
        <v>0</v>
      </c>
    </row>
    <row r="237" spans="3:14" x14ac:dyDescent="0.25">
      <c r="C237" s="1">
        <v>45861</v>
      </c>
      <c r="D237" s="2" t="s">
        <v>21</v>
      </c>
      <c r="E237">
        <v>1288</v>
      </c>
      <c r="F237">
        <v>25.13</v>
      </c>
      <c r="G237">
        <v>25.44</v>
      </c>
      <c r="H237">
        <v>24.87</v>
      </c>
      <c r="I237">
        <v>25.21</v>
      </c>
      <c r="J237">
        <v>4635192</v>
      </c>
      <c r="K237">
        <v>32470.48</v>
      </c>
      <c r="L237">
        <f t="shared" si="4"/>
        <v>996140.87</v>
      </c>
      <c r="M237">
        <f>+IF(DailyData[[#This Row],[Column1]]&gt;0,DailyData[[#This Row],[Column1]]-L224,0)</f>
        <v>11922.920000000042</v>
      </c>
      <c r="N237" s="1">
        <f>+IF(DailyData[[#This Row],[Column2]]=0,0,DailyData[[#This Row],[Date]])</f>
        <v>45861</v>
      </c>
    </row>
    <row r="238" spans="3:14" x14ac:dyDescent="0.25">
      <c r="C238" s="1">
        <v>45862</v>
      </c>
      <c r="D238" s="2" t="s">
        <v>9</v>
      </c>
      <c r="E238">
        <v>153181</v>
      </c>
      <c r="F238">
        <v>0.69</v>
      </c>
      <c r="G238">
        <v>0.70499999999999996</v>
      </c>
      <c r="H238">
        <v>0.68</v>
      </c>
      <c r="I238">
        <v>0.7</v>
      </c>
      <c r="J238">
        <v>2977416</v>
      </c>
      <c r="K238">
        <v>107226.7</v>
      </c>
      <c r="L238">
        <f t="shared" si="4"/>
        <v>0</v>
      </c>
      <c r="M238">
        <f>+IF(DailyData[[#This Row],[Column1]]&gt;0,DailyData[[#This Row],[Column1]]-L225,0)</f>
        <v>0</v>
      </c>
      <c r="N238" s="1">
        <f>+IF(DailyData[[#This Row],[Column2]]=0,0,DailyData[[#This Row],[Date]])</f>
        <v>0</v>
      </c>
    </row>
    <row r="239" spans="3:14" x14ac:dyDescent="0.25">
      <c r="C239" s="1">
        <v>45862</v>
      </c>
      <c r="D239" s="2" t="s">
        <v>10</v>
      </c>
      <c r="E239">
        <v>70000</v>
      </c>
      <c r="F239">
        <v>1.67</v>
      </c>
      <c r="G239">
        <v>1.675</v>
      </c>
      <c r="H239">
        <v>1.655</v>
      </c>
      <c r="I239">
        <v>1.67</v>
      </c>
      <c r="J239">
        <v>7762806</v>
      </c>
      <c r="K239">
        <v>116900</v>
      </c>
      <c r="L239">
        <f t="shared" si="4"/>
        <v>0</v>
      </c>
      <c r="M239">
        <f>+IF(DailyData[[#This Row],[Column1]]&gt;0,DailyData[[#This Row],[Column1]]-L226,0)</f>
        <v>0</v>
      </c>
      <c r="N239" s="1">
        <f>+IF(DailyData[[#This Row],[Column2]]=0,0,DailyData[[#This Row],[Date]])</f>
        <v>0</v>
      </c>
    </row>
    <row r="240" spans="3:14" x14ac:dyDescent="0.25">
      <c r="C240" s="1">
        <v>45862</v>
      </c>
      <c r="D240" s="2" t="s">
        <v>11</v>
      </c>
      <c r="E240">
        <v>57458</v>
      </c>
      <c r="F240">
        <v>0.72</v>
      </c>
      <c r="G240">
        <v>0.72</v>
      </c>
      <c r="H240">
        <v>0.72</v>
      </c>
      <c r="I240">
        <v>0.72</v>
      </c>
      <c r="J240">
        <v>0</v>
      </c>
      <c r="K240">
        <v>41369.760000000002</v>
      </c>
      <c r="L240">
        <f t="shared" si="4"/>
        <v>0</v>
      </c>
      <c r="M240">
        <f>+IF(DailyData[[#This Row],[Column1]]&gt;0,DailyData[[#This Row],[Column1]]-L227,0)</f>
        <v>0</v>
      </c>
      <c r="N240" s="1">
        <f>+IF(DailyData[[#This Row],[Column2]]=0,0,DailyData[[#This Row],[Date]])</f>
        <v>0</v>
      </c>
    </row>
    <row r="241" spans="3:14" x14ac:dyDescent="0.25">
      <c r="C241" s="1">
        <v>45862</v>
      </c>
      <c r="D241" s="2" t="s">
        <v>12</v>
      </c>
      <c r="E241">
        <v>16361</v>
      </c>
      <c r="F241">
        <v>41.99</v>
      </c>
      <c r="G241">
        <v>42.07</v>
      </c>
      <c r="H241">
        <v>41.46</v>
      </c>
      <c r="I241">
        <v>41.6</v>
      </c>
      <c r="J241">
        <v>8832638</v>
      </c>
      <c r="K241">
        <v>680617.58</v>
      </c>
      <c r="L241">
        <f t="shared" si="4"/>
        <v>0</v>
      </c>
      <c r="M241">
        <f>+IF(DailyData[[#This Row],[Column1]]&gt;0,DailyData[[#This Row],[Column1]]-L228,0)</f>
        <v>0</v>
      </c>
      <c r="N241" s="1">
        <f>+IF(DailyData[[#This Row],[Column2]]=0,0,DailyData[[#This Row],[Date]])</f>
        <v>0</v>
      </c>
    </row>
    <row r="242" spans="3:14" x14ac:dyDescent="0.25">
      <c r="C242" s="1">
        <v>45862</v>
      </c>
      <c r="D242" s="2" t="s">
        <v>13</v>
      </c>
      <c r="E242">
        <v>44090</v>
      </c>
      <c r="F242">
        <v>1.4999999999999999E-2</v>
      </c>
      <c r="G242">
        <v>1.4999999999999999E-2</v>
      </c>
      <c r="H242">
        <v>1.4E-2</v>
      </c>
      <c r="I242">
        <v>1.4999999999999999E-2</v>
      </c>
      <c r="J242">
        <v>519590</v>
      </c>
      <c r="K242">
        <v>661.35</v>
      </c>
      <c r="L242">
        <f t="shared" si="4"/>
        <v>0</v>
      </c>
      <c r="M242">
        <f>+IF(DailyData[[#This Row],[Column1]]&gt;0,DailyData[[#This Row],[Column1]]-L229,0)</f>
        <v>0</v>
      </c>
      <c r="N242" s="1">
        <f>+IF(DailyData[[#This Row],[Column2]]=0,0,DailyData[[#This Row],[Date]])</f>
        <v>0</v>
      </c>
    </row>
    <row r="243" spans="3:14" x14ac:dyDescent="0.25">
      <c r="C243" s="1">
        <v>45862</v>
      </c>
      <c r="D243" s="2" t="s">
        <v>14</v>
      </c>
      <c r="E243">
        <v>0</v>
      </c>
      <c r="F243">
        <v>173.97</v>
      </c>
      <c r="G243">
        <v>174.74</v>
      </c>
      <c r="H243">
        <v>172.26</v>
      </c>
      <c r="I243">
        <v>173.47</v>
      </c>
      <c r="J243">
        <v>1622393</v>
      </c>
      <c r="K243">
        <v>0</v>
      </c>
      <c r="L243">
        <f t="shared" si="4"/>
        <v>0</v>
      </c>
      <c r="M243">
        <f>+IF(DailyData[[#This Row],[Column1]]&gt;0,DailyData[[#This Row],[Column1]]-L230,0)</f>
        <v>0</v>
      </c>
      <c r="N243" s="1">
        <f>+IF(DailyData[[#This Row],[Column2]]=0,0,DailyData[[#This Row],[Date]])</f>
        <v>0</v>
      </c>
    </row>
    <row r="244" spans="3:14" x14ac:dyDescent="0.25">
      <c r="C244" s="1">
        <v>45862</v>
      </c>
      <c r="D244" s="2" t="s">
        <v>15</v>
      </c>
      <c r="E244">
        <v>10000</v>
      </c>
      <c r="F244">
        <v>0.41499999999999998</v>
      </c>
      <c r="G244">
        <v>0.42</v>
      </c>
      <c r="H244">
        <v>0.41</v>
      </c>
      <c r="I244">
        <v>0.42</v>
      </c>
      <c r="J244">
        <v>125860</v>
      </c>
      <c r="K244">
        <v>4200</v>
      </c>
      <c r="L244">
        <f t="shared" si="4"/>
        <v>0</v>
      </c>
      <c r="M244">
        <f>+IF(DailyData[[#This Row],[Column1]]&gt;0,DailyData[[#This Row],[Column1]]-L231,0)</f>
        <v>0</v>
      </c>
      <c r="N244" s="1">
        <f>+IF(DailyData[[#This Row],[Column2]]=0,0,DailyData[[#This Row],[Date]])</f>
        <v>0</v>
      </c>
    </row>
    <row r="245" spans="3:14" x14ac:dyDescent="0.25">
      <c r="C245" s="1">
        <v>45862</v>
      </c>
      <c r="D245" s="2" t="s">
        <v>16</v>
      </c>
      <c r="E245">
        <v>20000</v>
      </c>
      <c r="F245">
        <v>0.27</v>
      </c>
      <c r="G245">
        <v>0.27</v>
      </c>
      <c r="H245">
        <v>0.255</v>
      </c>
      <c r="I245">
        <v>0.255</v>
      </c>
      <c r="J245">
        <v>188531</v>
      </c>
      <c r="K245">
        <v>5100</v>
      </c>
      <c r="L245">
        <f t="shared" si="4"/>
        <v>0</v>
      </c>
      <c r="M245">
        <f>+IF(DailyData[[#This Row],[Column1]]&gt;0,DailyData[[#This Row],[Column1]]-L232,0)</f>
        <v>0</v>
      </c>
      <c r="N245" s="1">
        <f>+IF(DailyData[[#This Row],[Column2]]=0,0,DailyData[[#This Row],[Date]])</f>
        <v>0</v>
      </c>
    </row>
    <row r="246" spans="3:14" x14ac:dyDescent="0.25">
      <c r="C246" s="1">
        <v>45862</v>
      </c>
      <c r="D246" s="2" t="s">
        <v>17</v>
      </c>
      <c r="E246">
        <v>700000</v>
      </c>
      <c r="F246">
        <v>2E-3</v>
      </c>
      <c r="G246">
        <v>2E-3</v>
      </c>
      <c r="H246">
        <v>2E-3</v>
      </c>
      <c r="I246">
        <v>2E-3</v>
      </c>
      <c r="J246">
        <v>396642</v>
      </c>
      <c r="K246">
        <v>1750</v>
      </c>
      <c r="L246">
        <f t="shared" si="4"/>
        <v>0</v>
      </c>
      <c r="M246">
        <f>+IF(DailyData[[#This Row],[Column1]]&gt;0,DailyData[[#This Row],[Column1]]-L233,0)</f>
        <v>0</v>
      </c>
      <c r="N246" s="1">
        <f>+IF(DailyData[[#This Row],[Column2]]=0,0,DailyData[[#This Row],[Date]])</f>
        <v>0</v>
      </c>
    </row>
    <row r="247" spans="3:14" x14ac:dyDescent="0.25">
      <c r="C247" s="1">
        <v>45862</v>
      </c>
      <c r="D247" s="2" t="s">
        <v>18</v>
      </c>
      <c r="E247">
        <v>9412</v>
      </c>
      <c r="F247">
        <v>0.38</v>
      </c>
      <c r="G247">
        <v>0.38</v>
      </c>
      <c r="H247">
        <v>0.36</v>
      </c>
      <c r="I247">
        <v>0.375</v>
      </c>
      <c r="J247">
        <v>96988</v>
      </c>
      <c r="K247">
        <v>3529.5</v>
      </c>
      <c r="L247">
        <f t="shared" si="4"/>
        <v>0</v>
      </c>
      <c r="M247">
        <f>+IF(DailyData[[#This Row],[Column1]]&gt;0,DailyData[[#This Row],[Column1]]-L234,0)</f>
        <v>0</v>
      </c>
      <c r="N247" s="1">
        <f>+IF(DailyData[[#This Row],[Column2]]=0,0,DailyData[[#This Row],[Date]])</f>
        <v>0</v>
      </c>
    </row>
    <row r="248" spans="3:14" x14ac:dyDescent="0.25">
      <c r="C248" s="1">
        <v>45862</v>
      </c>
      <c r="D248" s="2" t="s">
        <v>19</v>
      </c>
      <c r="E248">
        <v>6000</v>
      </c>
      <c r="F248">
        <v>0.11</v>
      </c>
      <c r="G248">
        <v>0.11</v>
      </c>
      <c r="H248">
        <v>0.1</v>
      </c>
      <c r="I248">
        <v>0.1</v>
      </c>
      <c r="J248">
        <v>197435</v>
      </c>
      <c r="K248">
        <v>600</v>
      </c>
      <c r="L248">
        <f t="shared" si="4"/>
        <v>0</v>
      </c>
      <c r="M248">
        <f>+IF(DailyData[[#This Row],[Column1]]&gt;0,DailyData[[#This Row],[Column1]]-L235,0)</f>
        <v>0</v>
      </c>
      <c r="N248" s="1">
        <f>+IF(DailyData[[#This Row],[Column2]]=0,0,DailyData[[#This Row],[Date]])</f>
        <v>0</v>
      </c>
    </row>
    <row r="249" spans="3:14" x14ac:dyDescent="0.25">
      <c r="C249" s="1">
        <v>45862</v>
      </c>
      <c r="D249" s="2" t="s">
        <v>20</v>
      </c>
      <c r="E249">
        <v>0</v>
      </c>
      <c r="F249">
        <v>33.32</v>
      </c>
      <c r="G249">
        <v>33.44</v>
      </c>
      <c r="H249">
        <v>33.07</v>
      </c>
      <c r="I249">
        <v>33.29</v>
      </c>
      <c r="J249">
        <v>3475885</v>
      </c>
      <c r="K249">
        <v>0</v>
      </c>
      <c r="L249">
        <f t="shared" si="4"/>
        <v>0</v>
      </c>
      <c r="M249">
        <f>+IF(DailyData[[#This Row],[Column1]]&gt;0,DailyData[[#This Row],[Column1]]-L236,0)</f>
        <v>0</v>
      </c>
      <c r="N249" s="1">
        <f>+IF(DailyData[[#This Row],[Column2]]=0,0,DailyData[[#This Row],[Date]])</f>
        <v>0</v>
      </c>
    </row>
    <row r="250" spans="3:14" x14ac:dyDescent="0.25">
      <c r="C250" s="1">
        <v>45862</v>
      </c>
      <c r="D250" s="2" t="s">
        <v>21</v>
      </c>
      <c r="E250">
        <v>1288</v>
      </c>
      <c r="F250">
        <v>25.55</v>
      </c>
      <c r="G250">
        <v>25.74</v>
      </c>
      <c r="H250">
        <v>25.26</v>
      </c>
      <c r="I250">
        <v>25.26</v>
      </c>
      <c r="J250">
        <v>4724666</v>
      </c>
      <c r="K250">
        <v>32534.880000000001</v>
      </c>
      <c r="L250">
        <f t="shared" si="4"/>
        <v>994489.77</v>
      </c>
      <c r="M250">
        <f>+IF(DailyData[[#This Row],[Column1]]&gt;0,DailyData[[#This Row],[Column1]]-L237,0)</f>
        <v>-1651.0999999999767</v>
      </c>
      <c r="N250" s="1">
        <f>+IF(DailyData[[#This Row],[Column2]]=0,0,DailyData[[#This Row],[Date]])</f>
        <v>45862</v>
      </c>
    </row>
    <row r="251" spans="3:14" x14ac:dyDescent="0.25">
      <c r="C251" s="1">
        <v>45863</v>
      </c>
      <c r="D251" s="2" t="s">
        <v>9</v>
      </c>
      <c r="E251">
        <v>153181</v>
      </c>
      <c r="F251">
        <v>0.7</v>
      </c>
      <c r="G251">
        <v>0.72499999999999998</v>
      </c>
      <c r="H251">
        <v>0.69</v>
      </c>
      <c r="I251">
        <v>0.71</v>
      </c>
      <c r="J251">
        <v>2734795</v>
      </c>
      <c r="K251">
        <v>108758.51</v>
      </c>
      <c r="L251">
        <f t="shared" si="4"/>
        <v>0</v>
      </c>
      <c r="M251">
        <f>+IF(DailyData[[#This Row],[Column1]]&gt;0,DailyData[[#This Row],[Column1]]-L238,0)</f>
        <v>0</v>
      </c>
      <c r="N251" s="1">
        <f>+IF(DailyData[[#This Row],[Column2]]=0,0,DailyData[[#This Row],[Date]])</f>
        <v>0</v>
      </c>
    </row>
    <row r="252" spans="3:14" x14ac:dyDescent="0.25">
      <c r="C252" s="1">
        <v>45863</v>
      </c>
      <c r="D252" s="2" t="s">
        <v>10</v>
      </c>
      <c r="E252">
        <v>70000</v>
      </c>
      <c r="F252">
        <v>1.67</v>
      </c>
      <c r="G252">
        <v>1.67</v>
      </c>
      <c r="H252">
        <v>1.5649999999999999</v>
      </c>
      <c r="I252">
        <v>1.59</v>
      </c>
      <c r="J252">
        <v>15750133</v>
      </c>
      <c r="K252">
        <v>111300</v>
      </c>
      <c r="L252">
        <f t="shared" si="4"/>
        <v>0</v>
      </c>
      <c r="M252">
        <f>+IF(DailyData[[#This Row],[Column1]]&gt;0,DailyData[[#This Row],[Column1]]-L239,0)</f>
        <v>0</v>
      </c>
      <c r="N252" s="1">
        <f>+IF(DailyData[[#This Row],[Column2]]=0,0,DailyData[[#This Row],[Date]])</f>
        <v>0</v>
      </c>
    </row>
    <row r="253" spans="3:14" x14ac:dyDescent="0.25">
      <c r="C253" s="1">
        <v>45863</v>
      </c>
      <c r="D253" s="2" t="s">
        <v>11</v>
      </c>
      <c r="E253">
        <v>57458</v>
      </c>
      <c r="F253">
        <v>0.72</v>
      </c>
      <c r="G253">
        <v>0.72</v>
      </c>
      <c r="H253">
        <v>0.72</v>
      </c>
      <c r="I253">
        <v>0.72</v>
      </c>
      <c r="J253">
        <v>0</v>
      </c>
      <c r="K253">
        <v>41369.760000000002</v>
      </c>
      <c r="L253">
        <f t="shared" si="4"/>
        <v>0</v>
      </c>
      <c r="M253">
        <f>+IF(DailyData[[#This Row],[Column1]]&gt;0,DailyData[[#This Row],[Column1]]-L240,0)</f>
        <v>0</v>
      </c>
      <c r="N253" s="1">
        <f>+IF(DailyData[[#This Row],[Column2]]=0,0,DailyData[[#This Row],[Date]])</f>
        <v>0</v>
      </c>
    </row>
    <row r="254" spans="3:14" x14ac:dyDescent="0.25">
      <c r="C254" s="1">
        <v>45863</v>
      </c>
      <c r="D254" s="2" t="s">
        <v>12</v>
      </c>
      <c r="E254">
        <v>16361</v>
      </c>
      <c r="F254">
        <v>40.86</v>
      </c>
      <c r="G254">
        <v>41.14</v>
      </c>
      <c r="H254">
        <v>40.659999999999997</v>
      </c>
      <c r="I254">
        <v>40.799999999999997</v>
      </c>
      <c r="J254">
        <v>7481253</v>
      </c>
      <c r="K254">
        <v>667528.79</v>
      </c>
      <c r="L254">
        <f t="shared" si="4"/>
        <v>0</v>
      </c>
      <c r="M254">
        <f>+IF(DailyData[[#This Row],[Column1]]&gt;0,DailyData[[#This Row],[Column1]]-L241,0)</f>
        <v>0</v>
      </c>
      <c r="N254" s="1">
        <f>+IF(DailyData[[#This Row],[Column2]]=0,0,DailyData[[#This Row],[Date]])</f>
        <v>0</v>
      </c>
    </row>
    <row r="255" spans="3:14" x14ac:dyDescent="0.25">
      <c r="C255" s="1">
        <v>45863</v>
      </c>
      <c r="D255" s="2" t="s">
        <v>13</v>
      </c>
      <c r="E255">
        <v>44090</v>
      </c>
      <c r="F255">
        <v>1.4999999999999999E-2</v>
      </c>
      <c r="G255">
        <v>1.4999999999999999E-2</v>
      </c>
      <c r="H255">
        <v>1.4999999999999999E-2</v>
      </c>
      <c r="I255">
        <v>1.4999999999999999E-2</v>
      </c>
      <c r="J255">
        <v>56505</v>
      </c>
      <c r="K255">
        <v>661.35</v>
      </c>
      <c r="L255">
        <f t="shared" si="4"/>
        <v>0</v>
      </c>
      <c r="M255">
        <f>+IF(DailyData[[#This Row],[Column1]]&gt;0,DailyData[[#This Row],[Column1]]-L242,0)</f>
        <v>0</v>
      </c>
      <c r="N255" s="1">
        <f>+IF(DailyData[[#This Row],[Column2]]=0,0,DailyData[[#This Row],[Date]])</f>
        <v>0</v>
      </c>
    </row>
    <row r="256" spans="3:14" x14ac:dyDescent="0.25">
      <c r="C256" s="1">
        <v>45863</v>
      </c>
      <c r="D256" s="2" t="s">
        <v>14</v>
      </c>
      <c r="E256">
        <v>0</v>
      </c>
      <c r="F256">
        <v>173.4</v>
      </c>
      <c r="G256">
        <v>173.61</v>
      </c>
      <c r="H256">
        <v>170.97</v>
      </c>
      <c r="I256">
        <v>172.87</v>
      </c>
      <c r="J256">
        <v>1626092</v>
      </c>
      <c r="K256">
        <v>0</v>
      </c>
      <c r="L256">
        <f t="shared" si="4"/>
        <v>0</v>
      </c>
      <c r="M256">
        <f>+IF(DailyData[[#This Row],[Column1]]&gt;0,DailyData[[#This Row],[Column1]]-L243,0)</f>
        <v>0</v>
      </c>
      <c r="N256" s="1">
        <f>+IF(DailyData[[#This Row],[Column2]]=0,0,DailyData[[#This Row],[Date]])</f>
        <v>0</v>
      </c>
    </row>
    <row r="257" spans="3:14" x14ac:dyDescent="0.25">
      <c r="C257" s="1">
        <v>45863</v>
      </c>
      <c r="D257" s="2" t="s">
        <v>15</v>
      </c>
      <c r="E257">
        <v>10000</v>
      </c>
      <c r="F257">
        <v>0.41499999999999998</v>
      </c>
      <c r="G257">
        <v>0.41499999999999998</v>
      </c>
      <c r="H257">
        <v>0.39</v>
      </c>
      <c r="I257">
        <v>0.39</v>
      </c>
      <c r="J257">
        <v>263925</v>
      </c>
      <c r="K257">
        <v>3900</v>
      </c>
      <c r="L257">
        <f t="shared" si="4"/>
        <v>0</v>
      </c>
      <c r="M257">
        <f>+IF(DailyData[[#This Row],[Column1]]&gt;0,DailyData[[#This Row],[Column1]]-L244,0)</f>
        <v>0</v>
      </c>
      <c r="N257" s="1">
        <f>+IF(DailyData[[#This Row],[Column2]]=0,0,DailyData[[#This Row],[Date]])</f>
        <v>0</v>
      </c>
    </row>
    <row r="258" spans="3:14" x14ac:dyDescent="0.25">
      <c r="C258" s="1">
        <v>45863</v>
      </c>
      <c r="D258" s="2" t="s">
        <v>16</v>
      </c>
      <c r="E258">
        <v>20000</v>
      </c>
      <c r="F258">
        <v>0.26500000000000001</v>
      </c>
      <c r="G258">
        <v>0.28999999999999998</v>
      </c>
      <c r="H258">
        <v>0.255</v>
      </c>
      <c r="I258">
        <v>0.28000000000000003</v>
      </c>
      <c r="J258">
        <v>521952</v>
      </c>
      <c r="K258">
        <v>5600</v>
      </c>
      <c r="L258">
        <f t="shared" si="4"/>
        <v>0</v>
      </c>
      <c r="M258">
        <f>+IF(DailyData[[#This Row],[Column1]]&gt;0,DailyData[[#This Row],[Column1]]-L245,0)</f>
        <v>0</v>
      </c>
      <c r="N258" s="1">
        <f>+IF(DailyData[[#This Row],[Column2]]=0,0,DailyData[[#This Row],[Date]])</f>
        <v>0</v>
      </c>
    </row>
    <row r="259" spans="3:14" x14ac:dyDescent="0.25">
      <c r="C259" s="1">
        <v>45863</v>
      </c>
      <c r="D259" s="2" t="s">
        <v>17</v>
      </c>
      <c r="E259">
        <v>700000</v>
      </c>
      <c r="F259">
        <v>2E-3</v>
      </c>
      <c r="G259">
        <v>3.0000000000000001E-3</v>
      </c>
      <c r="H259">
        <v>2E-3</v>
      </c>
      <c r="I259">
        <v>2E-3</v>
      </c>
      <c r="J259">
        <v>4141288</v>
      </c>
      <c r="K259">
        <v>1750</v>
      </c>
      <c r="L259">
        <f t="shared" si="4"/>
        <v>0</v>
      </c>
      <c r="M259">
        <f>+IF(DailyData[[#This Row],[Column1]]&gt;0,DailyData[[#This Row],[Column1]]-L246,0)</f>
        <v>0</v>
      </c>
      <c r="N259" s="1">
        <f>+IF(DailyData[[#This Row],[Column2]]=0,0,DailyData[[#This Row],[Date]])</f>
        <v>0</v>
      </c>
    </row>
    <row r="260" spans="3:14" x14ac:dyDescent="0.25">
      <c r="C260" s="1">
        <v>45863</v>
      </c>
      <c r="D260" s="2" t="s">
        <v>18</v>
      </c>
      <c r="E260">
        <v>9412</v>
      </c>
      <c r="F260">
        <v>0.375</v>
      </c>
      <c r="G260">
        <v>0.375</v>
      </c>
      <c r="H260">
        <v>0.37</v>
      </c>
      <c r="I260">
        <v>0.375</v>
      </c>
      <c r="J260">
        <v>47196</v>
      </c>
      <c r="K260">
        <v>3529.5</v>
      </c>
      <c r="L260">
        <f t="shared" si="4"/>
        <v>0</v>
      </c>
      <c r="M260">
        <f>+IF(DailyData[[#This Row],[Column1]]&gt;0,DailyData[[#This Row],[Column1]]-L247,0)</f>
        <v>0</v>
      </c>
      <c r="N260" s="1">
        <f>+IF(DailyData[[#This Row],[Column2]]=0,0,DailyData[[#This Row],[Date]])</f>
        <v>0</v>
      </c>
    </row>
    <row r="261" spans="3:14" x14ac:dyDescent="0.25">
      <c r="C261" s="1">
        <v>45863</v>
      </c>
      <c r="D261" s="2" t="s">
        <v>19</v>
      </c>
      <c r="E261">
        <v>6000</v>
      </c>
      <c r="F261">
        <v>0.11</v>
      </c>
      <c r="G261">
        <v>0.11</v>
      </c>
      <c r="H261">
        <v>0.1</v>
      </c>
      <c r="I261">
        <v>0.1</v>
      </c>
      <c r="J261">
        <v>48753</v>
      </c>
      <c r="K261">
        <v>600</v>
      </c>
      <c r="L261">
        <f t="shared" si="4"/>
        <v>0</v>
      </c>
      <c r="M261">
        <f>+IF(DailyData[[#This Row],[Column1]]&gt;0,DailyData[[#This Row],[Column1]]-L248,0)</f>
        <v>0</v>
      </c>
      <c r="N261" s="1">
        <f>+IF(DailyData[[#This Row],[Column2]]=0,0,DailyData[[#This Row],[Date]])</f>
        <v>0</v>
      </c>
    </row>
    <row r="262" spans="3:14" x14ac:dyDescent="0.25">
      <c r="C262" s="1">
        <v>45863</v>
      </c>
      <c r="D262" s="2" t="s">
        <v>20</v>
      </c>
      <c r="E262">
        <v>0</v>
      </c>
      <c r="F262">
        <v>33.24</v>
      </c>
      <c r="G262">
        <v>33.35</v>
      </c>
      <c r="H262">
        <v>32.82</v>
      </c>
      <c r="I262">
        <v>33.03</v>
      </c>
      <c r="J262">
        <v>3205525</v>
      </c>
      <c r="K262">
        <v>0</v>
      </c>
      <c r="L262">
        <f t="shared" si="4"/>
        <v>0</v>
      </c>
      <c r="M262">
        <f>+IF(DailyData[[#This Row],[Column1]]&gt;0,DailyData[[#This Row],[Column1]]-L249,0)</f>
        <v>0</v>
      </c>
      <c r="N262" s="1">
        <f>+IF(DailyData[[#This Row],[Column2]]=0,0,DailyData[[#This Row],[Date]])</f>
        <v>0</v>
      </c>
    </row>
    <row r="263" spans="3:14" x14ac:dyDescent="0.25">
      <c r="C263" s="1">
        <v>45863</v>
      </c>
      <c r="D263" s="2" t="s">
        <v>21</v>
      </c>
      <c r="E263">
        <v>1288</v>
      </c>
      <c r="F263">
        <v>25.35</v>
      </c>
      <c r="G263">
        <v>26.324999999999999</v>
      </c>
      <c r="H263">
        <v>25.28</v>
      </c>
      <c r="I263">
        <v>26.2</v>
      </c>
      <c r="J263">
        <v>7292553</v>
      </c>
      <c r="K263">
        <v>33745.599999999999</v>
      </c>
      <c r="L263">
        <f t="shared" si="4"/>
        <v>978743.51</v>
      </c>
      <c r="M263">
        <f>+IF(DailyData[[#This Row],[Column1]]&gt;0,DailyData[[#This Row],[Column1]]-L250,0)</f>
        <v>-15746.260000000009</v>
      </c>
      <c r="N263" s="1">
        <f>+IF(DailyData[[#This Row],[Column2]]=0,0,DailyData[[#This Row],[Date]])</f>
        <v>45863</v>
      </c>
    </row>
    <row r="264" spans="3:14" x14ac:dyDescent="0.25">
      <c r="C264" s="1">
        <v>45866</v>
      </c>
      <c r="D264" s="2" t="s">
        <v>9</v>
      </c>
      <c r="E264">
        <v>153181</v>
      </c>
      <c r="F264">
        <v>0.72</v>
      </c>
      <c r="G264">
        <v>0.74</v>
      </c>
      <c r="H264">
        <v>0.71</v>
      </c>
      <c r="I264">
        <v>0.72</v>
      </c>
      <c r="J264">
        <v>2098528</v>
      </c>
      <c r="K264">
        <v>110290.32</v>
      </c>
      <c r="L264">
        <f t="shared" si="4"/>
        <v>0</v>
      </c>
      <c r="M264">
        <f>+IF(DailyData[[#This Row],[Column1]]&gt;0,DailyData[[#This Row],[Column1]]-L251,0)</f>
        <v>0</v>
      </c>
      <c r="N264" s="1">
        <f>+IF(DailyData[[#This Row],[Column2]]=0,0,DailyData[[#This Row],[Date]])</f>
        <v>0</v>
      </c>
    </row>
    <row r="265" spans="3:14" x14ac:dyDescent="0.25">
      <c r="C265" s="1">
        <v>45866</v>
      </c>
      <c r="D265" s="2" t="s">
        <v>10</v>
      </c>
      <c r="E265">
        <v>70000</v>
      </c>
      <c r="F265">
        <v>1.59</v>
      </c>
      <c r="G265">
        <v>1.615</v>
      </c>
      <c r="H265">
        <v>1.585</v>
      </c>
      <c r="I265">
        <v>1.595</v>
      </c>
      <c r="J265">
        <v>6565474</v>
      </c>
      <c r="K265">
        <v>111650</v>
      </c>
      <c r="L265">
        <f t="shared" si="4"/>
        <v>0</v>
      </c>
      <c r="M265">
        <f>+IF(DailyData[[#This Row],[Column1]]&gt;0,DailyData[[#This Row],[Column1]]-L252,0)</f>
        <v>0</v>
      </c>
      <c r="N265" s="1">
        <f>+IF(DailyData[[#This Row],[Column2]]=0,0,DailyData[[#This Row],[Date]])</f>
        <v>0</v>
      </c>
    </row>
    <row r="266" spans="3:14" x14ac:dyDescent="0.25">
      <c r="C266" s="1">
        <v>45866</v>
      </c>
      <c r="D266" s="2" t="s">
        <v>11</v>
      </c>
      <c r="E266">
        <v>57458</v>
      </c>
      <c r="F266">
        <v>0.59499999999999997</v>
      </c>
      <c r="G266">
        <v>0.61499999999999999</v>
      </c>
      <c r="H266">
        <v>0.58499999999999996</v>
      </c>
      <c r="I266">
        <v>0.59</v>
      </c>
      <c r="J266">
        <v>3124108</v>
      </c>
      <c r="K266">
        <v>33900.22</v>
      </c>
      <c r="L266">
        <f t="shared" si="4"/>
        <v>0</v>
      </c>
      <c r="M266">
        <f>+IF(DailyData[[#This Row],[Column1]]&gt;0,DailyData[[#This Row],[Column1]]-L253,0)</f>
        <v>0</v>
      </c>
      <c r="N266" s="1">
        <f>+IF(DailyData[[#This Row],[Column2]]=0,0,DailyData[[#This Row],[Date]])</f>
        <v>0</v>
      </c>
    </row>
    <row r="267" spans="3:14" x14ac:dyDescent="0.25">
      <c r="C267" s="1">
        <v>45866</v>
      </c>
      <c r="D267" s="2" t="s">
        <v>12</v>
      </c>
      <c r="E267">
        <v>16361</v>
      </c>
      <c r="F267">
        <v>40.57</v>
      </c>
      <c r="G267">
        <v>40.71</v>
      </c>
      <c r="H267">
        <v>40.200000000000003</v>
      </c>
      <c r="I267">
        <v>40.299999999999997</v>
      </c>
      <c r="J267">
        <v>6193873</v>
      </c>
      <c r="K267">
        <v>659348.29</v>
      </c>
      <c r="L267">
        <f t="shared" si="4"/>
        <v>0</v>
      </c>
      <c r="M267">
        <f>+IF(DailyData[[#This Row],[Column1]]&gt;0,DailyData[[#This Row],[Column1]]-L254,0)</f>
        <v>0</v>
      </c>
      <c r="N267" s="1">
        <f>+IF(DailyData[[#This Row],[Column2]]=0,0,DailyData[[#This Row],[Date]])</f>
        <v>0</v>
      </c>
    </row>
    <row r="268" spans="3:14" x14ac:dyDescent="0.25">
      <c r="C268" s="1">
        <v>45866</v>
      </c>
      <c r="D268" s="2" t="s">
        <v>13</v>
      </c>
      <c r="E268">
        <v>44090</v>
      </c>
      <c r="F268">
        <v>1.4999999999999999E-2</v>
      </c>
      <c r="G268">
        <v>1.4999999999999999E-2</v>
      </c>
      <c r="H268">
        <v>1.4E-2</v>
      </c>
      <c r="I268">
        <v>1.4E-2</v>
      </c>
      <c r="J268">
        <v>274274</v>
      </c>
      <c r="K268">
        <v>617.26</v>
      </c>
      <c r="L268">
        <f t="shared" si="4"/>
        <v>0</v>
      </c>
      <c r="M268">
        <f>+IF(DailyData[[#This Row],[Column1]]&gt;0,DailyData[[#This Row],[Column1]]-L255,0)</f>
        <v>0</v>
      </c>
      <c r="N268" s="1">
        <f>+IF(DailyData[[#This Row],[Column2]]=0,0,DailyData[[#This Row],[Date]])</f>
        <v>0</v>
      </c>
    </row>
    <row r="269" spans="3:14" x14ac:dyDescent="0.25">
      <c r="C269" s="1">
        <v>45866</v>
      </c>
      <c r="D269" s="2" t="s">
        <v>14</v>
      </c>
      <c r="E269">
        <v>0</v>
      </c>
      <c r="F269">
        <v>172.5</v>
      </c>
      <c r="G269">
        <v>174.9</v>
      </c>
      <c r="H269">
        <v>171.6</v>
      </c>
      <c r="I269">
        <v>174.9</v>
      </c>
      <c r="J269">
        <v>1249203</v>
      </c>
      <c r="K269">
        <v>0</v>
      </c>
      <c r="L269">
        <f t="shared" si="4"/>
        <v>0</v>
      </c>
      <c r="M269">
        <f>+IF(DailyData[[#This Row],[Column1]]&gt;0,DailyData[[#This Row],[Column1]]-L256,0)</f>
        <v>0</v>
      </c>
      <c r="N269" s="1">
        <f>+IF(DailyData[[#This Row],[Column2]]=0,0,DailyData[[#This Row],[Date]])</f>
        <v>0</v>
      </c>
    </row>
    <row r="270" spans="3:14" x14ac:dyDescent="0.25">
      <c r="C270" s="1">
        <v>45866</v>
      </c>
      <c r="D270" s="2" t="s">
        <v>15</v>
      </c>
      <c r="E270">
        <v>10000</v>
      </c>
      <c r="F270">
        <v>0.39500000000000002</v>
      </c>
      <c r="G270">
        <v>0.4</v>
      </c>
      <c r="H270">
        <v>0.39</v>
      </c>
      <c r="I270">
        <v>0.39</v>
      </c>
      <c r="J270">
        <v>136250</v>
      </c>
      <c r="K270">
        <v>3900</v>
      </c>
      <c r="L270">
        <f t="shared" si="4"/>
        <v>0</v>
      </c>
      <c r="M270">
        <f>+IF(DailyData[[#This Row],[Column1]]&gt;0,DailyData[[#This Row],[Column1]]-L257,0)</f>
        <v>0</v>
      </c>
      <c r="N270" s="1">
        <f>+IF(DailyData[[#This Row],[Column2]]=0,0,DailyData[[#This Row],[Date]])</f>
        <v>0</v>
      </c>
    </row>
    <row r="271" spans="3:14" x14ac:dyDescent="0.25">
      <c r="C271" s="1">
        <v>45866</v>
      </c>
      <c r="D271" s="2" t="s">
        <v>16</v>
      </c>
      <c r="E271">
        <v>20000</v>
      </c>
      <c r="F271">
        <v>0.28000000000000003</v>
      </c>
      <c r="G271">
        <v>0.28000000000000003</v>
      </c>
      <c r="H271">
        <v>0.26500000000000001</v>
      </c>
      <c r="I271">
        <v>0.26500000000000001</v>
      </c>
      <c r="J271">
        <v>68787</v>
      </c>
      <c r="K271">
        <v>5300</v>
      </c>
      <c r="L271">
        <f t="shared" si="4"/>
        <v>0</v>
      </c>
      <c r="M271">
        <f>+IF(DailyData[[#This Row],[Column1]]&gt;0,DailyData[[#This Row],[Column1]]-L258,0)</f>
        <v>0</v>
      </c>
      <c r="N271" s="1">
        <f>+IF(DailyData[[#This Row],[Column2]]=0,0,DailyData[[#This Row],[Date]])</f>
        <v>0</v>
      </c>
    </row>
    <row r="272" spans="3:14" x14ac:dyDescent="0.25">
      <c r="C272" s="1">
        <v>45866</v>
      </c>
      <c r="D272" s="2" t="s">
        <v>17</v>
      </c>
      <c r="E272">
        <v>700000</v>
      </c>
      <c r="F272">
        <v>2E-3</v>
      </c>
      <c r="G272">
        <v>3.0000000000000001E-3</v>
      </c>
      <c r="H272">
        <v>2E-3</v>
      </c>
      <c r="I272">
        <v>2E-3</v>
      </c>
      <c r="J272">
        <v>378650</v>
      </c>
      <c r="K272">
        <v>1750</v>
      </c>
      <c r="L272">
        <f t="shared" si="4"/>
        <v>0</v>
      </c>
      <c r="M272">
        <f>+IF(DailyData[[#This Row],[Column1]]&gt;0,DailyData[[#This Row],[Column1]]-L259,0)</f>
        <v>0</v>
      </c>
      <c r="N272" s="1">
        <f>+IF(DailyData[[#This Row],[Column2]]=0,0,DailyData[[#This Row],[Date]])</f>
        <v>0</v>
      </c>
    </row>
    <row r="273" spans="3:14" x14ac:dyDescent="0.25">
      <c r="C273" s="1">
        <v>45866</v>
      </c>
      <c r="D273" s="2" t="s">
        <v>18</v>
      </c>
      <c r="E273">
        <v>9412</v>
      </c>
      <c r="F273">
        <v>0.375</v>
      </c>
      <c r="G273">
        <v>0.38500000000000001</v>
      </c>
      <c r="H273">
        <v>0.37</v>
      </c>
      <c r="I273">
        <v>0.38</v>
      </c>
      <c r="J273">
        <v>357380</v>
      </c>
      <c r="K273">
        <v>3576.56</v>
      </c>
      <c r="L273">
        <f t="shared" ref="L273:L336" si="5">+IF(C274&lt;&gt;C273,SUM(K261:K273),0)</f>
        <v>0</v>
      </c>
      <c r="M273">
        <f>+IF(DailyData[[#This Row],[Column1]]&gt;0,DailyData[[#This Row],[Column1]]-L260,0)</f>
        <v>0</v>
      </c>
      <c r="N273" s="1">
        <f>+IF(DailyData[[#This Row],[Column2]]=0,0,DailyData[[#This Row],[Date]])</f>
        <v>0</v>
      </c>
    </row>
    <row r="274" spans="3:14" x14ac:dyDescent="0.25">
      <c r="C274" s="1">
        <v>45866</v>
      </c>
      <c r="D274" s="2" t="s">
        <v>19</v>
      </c>
      <c r="E274">
        <v>6000</v>
      </c>
      <c r="F274">
        <v>0.11</v>
      </c>
      <c r="G274">
        <v>0.13</v>
      </c>
      <c r="H274">
        <v>0.1</v>
      </c>
      <c r="I274">
        <v>0.105</v>
      </c>
      <c r="J274">
        <v>983058</v>
      </c>
      <c r="K274">
        <v>630</v>
      </c>
      <c r="L274">
        <f t="shared" si="5"/>
        <v>0</v>
      </c>
      <c r="M274">
        <f>+IF(DailyData[[#This Row],[Column1]]&gt;0,DailyData[[#This Row],[Column1]]-L261,0)</f>
        <v>0</v>
      </c>
      <c r="N274" s="1">
        <f>+IF(DailyData[[#This Row],[Column2]]=0,0,DailyData[[#This Row],[Date]])</f>
        <v>0</v>
      </c>
    </row>
    <row r="275" spans="3:14" x14ac:dyDescent="0.25">
      <c r="C275" s="1">
        <v>45866</v>
      </c>
      <c r="D275" s="2" t="s">
        <v>20</v>
      </c>
      <c r="E275">
        <v>0</v>
      </c>
      <c r="F275">
        <v>33</v>
      </c>
      <c r="G275">
        <v>33.215000000000003</v>
      </c>
      <c r="H275">
        <v>32.9</v>
      </c>
      <c r="I275">
        <v>33.21</v>
      </c>
      <c r="J275">
        <v>2409846</v>
      </c>
      <c r="K275">
        <v>0</v>
      </c>
      <c r="L275">
        <f t="shared" si="5"/>
        <v>0</v>
      </c>
      <c r="M275">
        <f>+IF(DailyData[[#This Row],[Column1]]&gt;0,DailyData[[#This Row],[Column1]]-L262,0)</f>
        <v>0</v>
      </c>
      <c r="N275" s="1">
        <f>+IF(DailyData[[#This Row],[Column2]]=0,0,DailyData[[#This Row],[Date]])</f>
        <v>0</v>
      </c>
    </row>
    <row r="276" spans="3:14" x14ac:dyDescent="0.25">
      <c r="C276" s="1">
        <v>45866</v>
      </c>
      <c r="D276" s="2" t="s">
        <v>21</v>
      </c>
      <c r="E276">
        <v>1288</v>
      </c>
      <c r="F276">
        <v>26.19</v>
      </c>
      <c r="G276">
        <v>26.49</v>
      </c>
      <c r="H276">
        <v>26.04</v>
      </c>
      <c r="I276">
        <v>26.19</v>
      </c>
      <c r="J276">
        <v>3473886</v>
      </c>
      <c r="K276">
        <v>33732.720000000001</v>
      </c>
      <c r="L276">
        <f t="shared" si="5"/>
        <v>964695.37000000011</v>
      </c>
      <c r="M276">
        <f>+IF(DailyData[[#This Row],[Column1]]&gt;0,DailyData[[#This Row],[Column1]]-L263,0)</f>
        <v>-14048.139999999898</v>
      </c>
      <c r="N276" s="1">
        <f>+IF(DailyData[[#This Row],[Column2]]=0,0,DailyData[[#This Row],[Date]])</f>
        <v>45866</v>
      </c>
    </row>
    <row r="277" spans="3:14" x14ac:dyDescent="0.25">
      <c r="C277" s="1">
        <v>45867</v>
      </c>
      <c r="D277" s="2" t="s">
        <v>9</v>
      </c>
      <c r="E277">
        <v>153181</v>
      </c>
      <c r="F277">
        <v>0.71499999999999997</v>
      </c>
      <c r="G277">
        <v>0.72</v>
      </c>
      <c r="H277">
        <v>0.7</v>
      </c>
      <c r="I277">
        <v>0.71</v>
      </c>
      <c r="J277">
        <v>2399464</v>
      </c>
      <c r="K277">
        <v>108758.51</v>
      </c>
      <c r="L277">
        <f t="shared" si="5"/>
        <v>0</v>
      </c>
      <c r="M277">
        <f>+IF(DailyData[[#This Row],[Column1]]&gt;0,DailyData[[#This Row],[Column1]]-L264,0)</f>
        <v>0</v>
      </c>
      <c r="N277" s="1">
        <f>+IF(DailyData[[#This Row],[Column2]]=0,0,DailyData[[#This Row],[Date]])</f>
        <v>0</v>
      </c>
    </row>
    <row r="278" spans="3:14" x14ac:dyDescent="0.25">
      <c r="C278" s="1">
        <v>45867</v>
      </c>
      <c r="D278" s="2" t="s">
        <v>10</v>
      </c>
      <c r="E278">
        <v>70000</v>
      </c>
      <c r="F278">
        <v>1.595</v>
      </c>
      <c r="G278">
        <v>1.62</v>
      </c>
      <c r="H278">
        <v>1.585</v>
      </c>
      <c r="I278">
        <v>1.61</v>
      </c>
      <c r="J278">
        <v>5224099</v>
      </c>
      <c r="K278">
        <v>112700</v>
      </c>
      <c r="L278">
        <f t="shared" si="5"/>
        <v>0</v>
      </c>
      <c r="M278">
        <f>+IF(DailyData[[#This Row],[Column1]]&gt;0,DailyData[[#This Row],[Column1]]-L265,0)</f>
        <v>0</v>
      </c>
      <c r="N278" s="1">
        <f>+IF(DailyData[[#This Row],[Column2]]=0,0,DailyData[[#This Row],[Date]])</f>
        <v>0</v>
      </c>
    </row>
    <row r="279" spans="3:14" x14ac:dyDescent="0.25">
      <c r="C279" s="1">
        <v>45867</v>
      </c>
      <c r="D279" s="2" t="s">
        <v>11</v>
      </c>
      <c r="E279">
        <v>57458</v>
      </c>
      <c r="F279">
        <v>0.59</v>
      </c>
      <c r="G279">
        <v>0.59499999999999997</v>
      </c>
      <c r="H279">
        <v>0.58499999999999996</v>
      </c>
      <c r="I279">
        <v>0.59</v>
      </c>
      <c r="J279">
        <v>513760</v>
      </c>
      <c r="K279">
        <v>33900.22</v>
      </c>
      <c r="L279">
        <f t="shared" si="5"/>
        <v>0</v>
      </c>
      <c r="M279">
        <f>+IF(DailyData[[#This Row],[Column1]]&gt;0,DailyData[[#This Row],[Column1]]-L266,0)</f>
        <v>0</v>
      </c>
      <c r="N279" s="1">
        <f>+IF(DailyData[[#This Row],[Column2]]=0,0,DailyData[[#This Row],[Date]])</f>
        <v>0</v>
      </c>
    </row>
    <row r="280" spans="3:14" x14ac:dyDescent="0.25">
      <c r="C280" s="1">
        <v>45867</v>
      </c>
      <c r="D280" s="2" t="s">
        <v>12</v>
      </c>
      <c r="E280">
        <v>16361</v>
      </c>
      <c r="F280">
        <v>40.15</v>
      </c>
      <c r="G280">
        <v>40.54</v>
      </c>
      <c r="H280">
        <v>40</v>
      </c>
      <c r="I280">
        <v>40.42</v>
      </c>
      <c r="J280">
        <v>5510084</v>
      </c>
      <c r="K280">
        <v>661311.59</v>
      </c>
      <c r="L280">
        <f t="shared" si="5"/>
        <v>0</v>
      </c>
      <c r="M280">
        <f>+IF(DailyData[[#This Row],[Column1]]&gt;0,DailyData[[#This Row],[Column1]]-L267,0)</f>
        <v>0</v>
      </c>
      <c r="N280" s="1">
        <f>+IF(DailyData[[#This Row],[Column2]]=0,0,DailyData[[#This Row],[Date]])</f>
        <v>0</v>
      </c>
    </row>
    <row r="281" spans="3:14" x14ac:dyDescent="0.25">
      <c r="C281" s="1">
        <v>45867</v>
      </c>
      <c r="D281" s="2" t="s">
        <v>13</v>
      </c>
      <c r="E281">
        <v>44090</v>
      </c>
      <c r="F281">
        <v>1.4999999999999999E-2</v>
      </c>
      <c r="G281">
        <v>1.4999999999999999E-2</v>
      </c>
      <c r="H281">
        <v>1.4E-2</v>
      </c>
      <c r="I281">
        <v>1.4E-2</v>
      </c>
      <c r="J281">
        <v>1021905</v>
      </c>
      <c r="K281">
        <v>617.26</v>
      </c>
      <c r="L281">
        <f t="shared" si="5"/>
        <v>0</v>
      </c>
      <c r="M281">
        <f>+IF(DailyData[[#This Row],[Column1]]&gt;0,DailyData[[#This Row],[Column1]]-L268,0)</f>
        <v>0</v>
      </c>
      <c r="N281" s="1">
        <f>+IF(DailyData[[#This Row],[Column2]]=0,0,DailyData[[#This Row],[Date]])</f>
        <v>0</v>
      </c>
    </row>
    <row r="282" spans="3:14" x14ac:dyDescent="0.25">
      <c r="C282" s="1">
        <v>45867</v>
      </c>
      <c r="D282" s="2" t="s">
        <v>14</v>
      </c>
      <c r="E282">
        <v>0</v>
      </c>
      <c r="F282">
        <v>173.88</v>
      </c>
      <c r="G282">
        <v>174.64</v>
      </c>
      <c r="H282">
        <v>172.53</v>
      </c>
      <c r="I282">
        <v>174.29</v>
      </c>
      <c r="J282">
        <v>1313893</v>
      </c>
      <c r="K282">
        <v>0</v>
      </c>
      <c r="L282">
        <f t="shared" si="5"/>
        <v>0</v>
      </c>
      <c r="M282">
        <f>+IF(DailyData[[#This Row],[Column1]]&gt;0,DailyData[[#This Row],[Column1]]-L269,0)</f>
        <v>0</v>
      </c>
      <c r="N282" s="1">
        <f>+IF(DailyData[[#This Row],[Column2]]=0,0,DailyData[[#This Row],[Date]])</f>
        <v>0</v>
      </c>
    </row>
    <row r="283" spans="3:14" x14ac:dyDescent="0.25">
      <c r="C283" s="1">
        <v>45867</v>
      </c>
      <c r="D283" s="2" t="s">
        <v>15</v>
      </c>
      <c r="E283">
        <v>10000</v>
      </c>
      <c r="F283">
        <v>0.39</v>
      </c>
      <c r="G283">
        <v>0.39</v>
      </c>
      <c r="H283">
        <v>0.375</v>
      </c>
      <c r="I283">
        <v>0.38500000000000001</v>
      </c>
      <c r="J283">
        <v>199195</v>
      </c>
      <c r="K283">
        <v>3850</v>
      </c>
      <c r="L283">
        <f t="shared" si="5"/>
        <v>0</v>
      </c>
      <c r="M283">
        <f>+IF(DailyData[[#This Row],[Column1]]&gt;0,DailyData[[#This Row],[Column1]]-L270,0)</f>
        <v>0</v>
      </c>
      <c r="N283" s="1">
        <f>+IF(DailyData[[#This Row],[Column2]]=0,0,DailyData[[#This Row],[Date]])</f>
        <v>0</v>
      </c>
    </row>
    <row r="284" spans="3:14" x14ac:dyDescent="0.25">
      <c r="C284" s="1">
        <v>45867</v>
      </c>
      <c r="D284" s="2" t="s">
        <v>16</v>
      </c>
      <c r="E284">
        <v>20000</v>
      </c>
      <c r="F284">
        <v>0.27</v>
      </c>
      <c r="G284">
        <v>0.27500000000000002</v>
      </c>
      <c r="H284">
        <v>0.26</v>
      </c>
      <c r="I284">
        <v>0.27500000000000002</v>
      </c>
      <c r="J284">
        <v>248964</v>
      </c>
      <c r="K284">
        <v>5500</v>
      </c>
      <c r="L284">
        <f t="shared" si="5"/>
        <v>0</v>
      </c>
      <c r="M284">
        <f>+IF(DailyData[[#This Row],[Column1]]&gt;0,DailyData[[#This Row],[Column1]]-L271,0)</f>
        <v>0</v>
      </c>
      <c r="N284" s="1">
        <f>+IF(DailyData[[#This Row],[Column2]]=0,0,DailyData[[#This Row],[Date]])</f>
        <v>0</v>
      </c>
    </row>
    <row r="285" spans="3:14" x14ac:dyDescent="0.25">
      <c r="C285" s="1">
        <v>45867</v>
      </c>
      <c r="D285" s="2" t="s">
        <v>17</v>
      </c>
      <c r="E285">
        <v>700000</v>
      </c>
      <c r="F285">
        <v>2E-3</v>
      </c>
      <c r="G285">
        <v>2E-3</v>
      </c>
      <c r="H285">
        <v>2E-3</v>
      </c>
      <c r="I285">
        <v>2E-3</v>
      </c>
      <c r="J285">
        <v>2000000</v>
      </c>
      <c r="K285">
        <v>1400</v>
      </c>
      <c r="L285">
        <f t="shared" si="5"/>
        <v>0</v>
      </c>
      <c r="M285">
        <f>+IF(DailyData[[#This Row],[Column1]]&gt;0,DailyData[[#This Row],[Column1]]-L272,0)</f>
        <v>0</v>
      </c>
      <c r="N285" s="1">
        <f>+IF(DailyData[[#This Row],[Column2]]=0,0,DailyData[[#This Row],[Date]])</f>
        <v>0</v>
      </c>
    </row>
    <row r="286" spans="3:14" x14ac:dyDescent="0.25">
      <c r="C286" s="1">
        <v>45867</v>
      </c>
      <c r="D286" s="2" t="s">
        <v>18</v>
      </c>
      <c r="E286">
        <v>9412</v>
      </c>
      <c r="F286">
        <v>0.38500000000000001</v>
      </c>
      <c r="G286">
        <v>0.4</v>
      </c>
      <c r="H286">
        <v>0.38</v>
      </c>
      <c r="I286">
        <v>0.39</v>
      </c>
      <c r="J286">
        <v>503900</v>
      </c>
      <c r="K286">
        <v>3670.68</v>
      </c>
      <c r="L286">
        <f t="shared" si="5"/>
        <v>0</v>
      </c>
      <c r="M286">
        <f>+IF(DailyData[[#This Row],[Column1]]&gt;0,DailyData[[#This Row],[Column1]]-L273,0)</f>
        <v>0</v>
      </c>
      <c r="N286" s="1">
        <f>+IF(DailyData[[#This Row],[Column2]]=0,0,DailyData[[#This Row],[Date]])</f>
        <v>0</v>
      </c>
    </row>
    <row r="287" spans="3:14" x14ac:dyDescent="0.25">
      <c r="C287" s="1">
        <v>45867</v>
      </c>
      <c r="D287" s="2" t="s">
        <v>19</v>
      </c>
      <c r="E287">
        <v>6000</v>
      </c>
      <c r="F287">
        <v>0.105</v>
      </c>
      <c r="G287">
        <v>0.115</v>
      </c>
      <c r="H287">
        <v>0.105</v>
      </c>
      <c r="I287">
        <v>0.115</v>
      </c>
      <c r="J287">
        <v>147385</v>
      </c>
      <c r="K287">
        <v>690</v>
      </c>
      <c r="L287">
        <f t="shared" si="5"/>
        <v>0</v>
      </c>
      <c r="M287">
        <f>+IF(DailyData[[#This Row],[Column1]]&gt;0,DailyData[[#This Row],[Column1]]-L274,0)</f>
        <v>0</v>
      </c>
      <c r="N287" s="1">
        <f>+IF(DailyData[[#This Row],[Column2]]=0,0,DailyData[[#This Row],[Date]])</f>
        <v>0</v>
      </c>
    </row>
    <row r="288" spans="3:14" x14ac:dyDescent="0.25">
      <c r="C288" s="1">
        <v>45867</v>
      </c>
      <c r="D288" s="2" t="s">
        <v>20</v>
      </c>
      <c r="E288">
        <v>0</v>
      </c>
      <c r="F288">
        <v>32.89</v>
      </c>
      <c r="G288">
        <v>33.19</v>
      </c>
      <c r="H288">
        <v>32.69</v>
      </c>
      <c r="I288">
        <v>33.19</v>
      </c>
      <c r="J288">
        <v>2752302</v>
      </c>
      <c r="K288">
        <v>0</v>
      </c>
      <c r="L288">
        <f t="shared" si="5"/>
        <v>0</v>
      </c>
      <c r="M288">
        <f>+IF(DailyData[[#This Row],[Column1]]&gt;0,DailyData[[#This Row],[Column1]]-L275,0)</f>
        <v>0</v>
      </c>
      <c r="N288" s="1">
        <f>+IF(DailyData[[#This Row],[Column2]]=0,0,DailyData[[#This Row],[Date]])</f>
        <v>0</v>
      </c>
    </row>
    <row r="289" spans="3:14" x14ac:dyDescent="0.25">
      <c r="C289" s="1">
        <v>45867</v>
      </c>
      <c r="D289" s="2" t="s">
        <v>21</v>
      </c>
      <c r="E289">
        <v>1288</v>
      </c>
      <c r="F289">
        <v>26.3</v>
      </c>
      <c r="G289">
        <v>26.67</v>
      </c>
      <c r="H289">
        <v>26.25</v>
      </c>
      <c r="I289">
        <v>26.6</v>
      </c>
      <c r="J289">
        <v>5026246</v>
      </c>
      <c r="K289">
        <v>34260.800000000003</v>
      </c>
      <c r="L289">
        <f t="shared" si="5"/>
        <v>966659.06</v>
      </c>
      <c r="M289">
        <f>+IF(DailyData[[#This Row],[Column1]]&gt;0,DailyData[[#This Row],[Column1]]-L276,0)</f>
        <v>1963.6899999999441</v>
      </c>
      <c r="N289" s="1">
        <f>+IF(DailyData[[#This Row],[Column2]]=0,0,DailyData[[#This Row],[Date]])</f>
        <v>45867</v>
      </c>
    </row>
    <row r="290" spans="3:14" x14ac:dyDescent="0.25">
      <c r="C290" s="1">
        <v>45868</v>
      </c>
      <c r="D290" s="2" t="s">
        <v>9</v>
      </c>
      <c r="E290">
        <v>153181</v>
      </c>
      <c r="F290">
        <v>0.73</v>
      </c>
      <c r="G290">
        <v>0.76</v>
      </c>
      <c r="H290">
        <v>0.71699999999999997</v>
      </c>
      <c r="I290">
        <v>0.755</v>
      </c>
      <c r="J290">
        <v>1718339</v>
      </c>
      <c r="K290">
        <v>115651.65</v>
      </c>
      <c r="L290">
        <f t="shared" si="5"/>
        <v>0</v>
      </c>
      <c r="M290">
        <f>+IF(DailyData[[#This Row],[Column1]]&gt;0,DailyData[[#This Row],[Column1]]-L277,0)</f>
        <v>0</v>
      </c>
      <c r="N290" s="1">
        <f>+IF(DailyData[[#This Row],[Column2]]=0,0,DailyData[[#This Row],[Date]])</f>
        <v>0</v>
      </c>
    </row>
    <row r="291" spans="3:14" x14ac:dyDescent="0.25">
      <c r="C291" s="1">
        <v>45868</v>
      </c>
      <c r="D291" s="2" t="s">
        <v>10</v>
      </c>
      <c r="E291">
        <v>70000</v>
      </c>
      <c r="F291">
        <v>1.6</v>
      </c>
      <c r="G291">
        <v>1.615</v>
      </c>
      <c r="H291">
        <v>1.59</v>
      </c>
      <c r="I291">
        <v>1.61</v>
      </c>
      <c r="J291">
        <v>6888402</v>
      </c>
      <c r="K291">
        <v>112700</v>
      </c>
      <c r="L291">
        <f t="shared" si="5"/>
        <v>0</v>
      </c>
      <c r="M291">
        <f>+IF(DailyData[[#This Row],[Column1]]&gt;0,DailyData[[#This Row],[Column1]]-L278,0)</f>
        <v>0</v>
      </c>
      <c r="N291" s="1">
        <f>+IF(DailyData[[#This Row],[Column2]]=0,0,DailyData[[#This Row],[Date]])</f>
        <v>0</v>
      </c>
    </row>
    <row r="292" spans="3:14" x14ac:dyDescent="0.25">
      <c r="C292" s="1">
        <v>45868</v>
      </c>
      <c r="D292" s="2" t="s">
        <v>11</v>
      </c>
      <c r="E292">
        <v>57458</v>
      </c>
      <c r="F292">
        <v>0.59</v>
      </c>
      <c r="G292">
        <v>0.59</v>
      </c>
      <c r="H292">
        <v>0.56999999999999995</v>
      </c>
      <c r="I292">
        <v>0.56999999999999995</v>
      </c>
      <c r="J292">
        <v>660041</v>
      </c>
      <c r="K292">
        <v>32751.06</v>
      </c>
      <c r="L292">
        <f t="shared" si="5"/>
        <v>0</v>
      </c>
      <c r="M292">
        <f>+IF(DailyData[[#This Row],[Column1]]&gt;0,DailyData[[#This Row],[Column1]]-L279,0)</f>
        <v>0</v>
      </c>
      <c r="N292" s="1">
        <f>+IF(DailyData[[#This Row],[Column2]]=0,0,DailyData[[#This Row],[Date]])</f>
        <v>0</v>
      </c>
    </row>
    <row r="293" spans="3:14" x14ac:dyDescent="0.25">
      <c r="C293" s="1">
        <v>45868</v>
      </c>
      <c r="D293" s="2" t="s">
        <v>12</v>
      </c>
      <c r="E293">
        <v>16361</v>
      </c>
      <c r="F293">
        <v>40.25</v>
      </c>
      <c r="G293">
        <v>40.57</v>
      </c>
      <c r="H293">
        <v>40.200000000000003</v>
      </c>
      <c r="I293">
        <v>40.22</v>
      </c>
      <c r="J293">
        <v>5662040</v>
      </c>
      <c r="K293">
        <v>658039.43999999994</v>
      </c>
      <c r="L293">
        <f t="shared" si="5"/>
        <v>0</v>
      </c>
      <c r="M293">
        <f>+IF(DailyData[[#This Row],[Column1]]&gt;0,DailyData[[#This Row],[Column1]]-L280,0)</f>
        <v>0</v>
      </c>
      <c r="N293" s="1">
        <f>+IF(DailyData[[#This Row],[Column2]]=0,0,DailyData[[#This Row],[Date]])</f>
        <v>0</v>
      </c>
    </row>
    <row r="294" spans="3:14" x14ac:dyDescent="0.25">
      <c r="C294" s="1">
        <v>45868</v>
      </c>
      <c r="D294" s="2" t="s">
        <v>13</v>
      </c>
      <c r="E294">
        <v>44090</v>
      </c>
      <c r="F294">
        <v>1.4E-2</v>
      </c>
      <c r="G294">
        <v>1.4999999999999999E-2</v>
      </c>
      <c r="H294">
        <v>1.2999999999999999E-2</v>
      </c>
      <c r="I294">
        <v>1.4E-2</v>
      </c>
      <c r="J294">
        <v>534132</v>
      </c>
      <c r="K294">
        <v>617.26</v>
      </c>
      <c r="L294">
        <f t="shared" si="5"/>
        <v>0</v>
      </c>
      <c r="M294">
        <f>+IF(DailyData[[#This Row],[Column1]]&gt;0,DailyData[[#This Row],[Column1]]-L281,0)</f>
        <v>0</v>
      </c>
      <c r="N294" s="1">
        <f>+IF(DailyData[[#This Row],[Column2]]=0,0,DailyData[[#This Row],[Date]])</f>
        <v>0</v>
      </c>
    </row>
    <row r="295" spans="3:14" x14ac:dyDescent="0.25">
      <c r="C295" s="1">
        <v>45868</v>
      </c>
      <c r="D295" s="2" t="s">
        <v>14</v>
      </c>
      <c r="E295">
        <v>0</v>
      </c>
      <c r="F295">
        <v>173.97</v>
      </c>
      <c r="G295">
        <v>177.6</v>
      </c>
      <c r="H295">
        <v>173.25</v>
      </c>
      <c r="I295">
        <v>176.99</v>
      </c>
      <c r="J295">
        <v>1817808</v>
      </c>
      <c r="K295">
        <v>0</v>
      </c>
      <c r="L295">
        <f t="shared" si="5"/>
        <v>0</v>
      </c>
      <c r="M295">
        <f>+IF(DailyData[[#This Row],[Column1]]&gt;0,DailyData[[#This Row],[Column1]]-L282,0)</f>
        <v>0</v>
      </c>
      <c r="N295" s="1">
        <f>+IF(DailyData[[#This Row],[Column2]]=0,0,DailyData[[#This Row],[Date]])</f>
        <v>0</v>
      </c>
    </row>
    <row r="296" spans="3:14" x14ac:dyDescent="0.25">
      <c r="C296" s="1">
        <v>45868</v>
      </c>
      <c r="D296" s="2" t="s">
        <v>15</v>
      </c>
      <c r="E296">
        <v>10000</v>
      </c>
      <c r="F296">
        <v>0.38500000000000001</v>
      </c>
      <c r="G296">
        <v>0.39500000000000002</v>
      </c>
      <c r="H296">
        <v>0.38500000000000001</v>
      </c>
      <c r="I296">
        <v>0.39</v>
      </c>
      <c r="J296">
        <v>44595</v>
      </c>
      <c r="K296">
        <v>3900</v>
      </c>
      <c r="L296">
        <f t="shared" si="5"/>
        <v>0</v>
      </c>
      <c r="M296">
        <f>+IF(DailyData[[#This Row],[Column1]]&gt;0,DailyData[[#This Row],[Column1]]-L283,0)</f>
        <v>0</v>
      </c>
      <c r="N296" s="1">
        <f>+IF(DailyData[[#This Row],[Column2]]=0,0,DailyData[[#This Row],[Date]])</f>
        <v>0</v>
      </c>
    </row>
    <row r="297" spans="3:14" x14ac:dyDescent="0.25">
      <c r="C297" s="1">
        <v>45868</v>
      </c>
      <c r="D297" s="2" t="s">
        <v>16</v>
      </c>
      <c r="E297">
        <v>20000</v>
      </c>
      <c r="F297">
        <v>0.27500000000000002</v>
      </c>
      <c r="G297">
        <v>0.27500000000000002</v>
      </c>
      <c r="H297">
        <v>0.26</v>
      </c>
      <c r="I297">
        <v>0.26500000000000001</v>
      </c>
      <c r="J297">
        <v>64451</v>
      </c>
      <c r="K297">
        <v>5300</v>
      </c>
      <c r="L297">
        <f t="shared" si="5"/>
        <v>0</v>
      </c>
      <c r="M297">
        <f>+IF(DailyData[[#This Row],[Column1]]&gt;0,DailyData[[#This Row],[Column1]]-L284,0)</f>
        <v>0</v>
      </c>
      <c r="N297" s="1">
        <f>+IF(DailyData[[#This Row],[Column2]]=0,0,DailyData[[#This Row],[Date]])</f>
        <v>0</v>
      </c>
    </row>
    <row r="298" spans="3:14" x14ac:dyDescent="0.25">
      <c r="C298" s="1">
        <v>45868</v>
      </c>
      <c r="D298" s="2" t="s">
        <v>17</v>
      </c>
      <c r="E298">
        <v>700000</v>
      </c>
      <c r="F298">
        <v>2E-3</v>
      </c>
      <c r="G298">
        <v>3.0000000000000001E-3</v>
      </c>
      <c r="H298">
        <v>2E-3</v>
      </c>
      <c r="I298">
        <v>2E-3</v>
      </c>
      <c r="J298">
        <v>1152408</v>
      </c>
      <c r="K298">
        <v>1750</v>
      </c>
      <c r="L298">
        <f t="shared" si="5"/>
        <v>0</v>
      </c>
      <c r="M298">
        <f>+IF(DailyData[[#This Row],[Column1]]&gt;0,DailyData[[#This Row],[Column1]]-L285,0)</f>
        <v>0</v>
      </c>
      <c r="N298" s="1">
        <f>+IF(DailyData[[#This Row],[Column2]]=0,0,DailyData[[#This Row],[Date]])</f>
        <v>0</v>
      </c>
    </row>
    <row r="299" spans="3:14" x14ac:dyDescent="0.25">
      <c r="C299" s="1">
        <v>45868</v>
      </c>
      <c r="D299" s="2" t="s">
        <v>18</v>
      </c>
      <c r="E299">
        <v>9412</v>
      </c>
      <c r="F299">
        <v>0.38</v>
      </c>
      <c r="G299">
        <v>0.39</v>
      </c>
      <c r="H299">
        <v>0.375</v>
      </c>
      <c r="I299">
        <v>0.38</v>
      </c>
      <c r="J299">
        <v>71600</v>
      </c>
      <c r="K299">
        <v>3576.56</v>
      </c>
      <c r="L299">
        <f t="shared" si="5"/>
        <v>0</v>
      </c>
      <c r="M299">
        <f>+IF(DailyData[[#This Row],[Column1]]&gt;0,DailyData[[#This Row],[Column1]]-L286,0)</f>
        <v>0</v>
      </c>
      <c r="N299" s="1">
        <f>+IF(DailyData[[#This Row],[Column2]]=0,0,DailyData[[#This Row],[Date]])</f>
        <v>0</v>
      </c>
    </row>
    <row r="300" spans="3:14" x14ac:dyDescent="0.25">
      <c r="C300" s="1">
        <v>45868</v>
      </c>
      <c r="D300" s="2" t="s">
        <v>19</v>
      </c>
      <c r="E300">
        <v>6000</v>
      </c>
      <c r="F300">
        <v>0.11</v>
      </c>
      <c r="G300">
        <v>0.115</v>
      </c>
      <c r="H300">
        <v>0.11</v>
      </c>
      <c r="I300">
        <v>0.115</v>
      </c>
      <c r="J300">
        <v>63170</v>
      </c>
      <c r="K300">
        <v>690</v>
      </c>
      <c r="L300">
        <f t="shared" si="5"/>
        <v>0</v>
      </c>
      <c r="M300">
        <f>+IF(DailyData[[#This Row],[Column1]]&gt;0,DailyData[[#This Row],[Column1]]-L287,0)</f>
        <v>0</v>
      </c>
      <c r="N300" s="1">
        <f>+IF(DailyData[[#This Row],[Column2]]=0,0,DailyData[[#This Row],[Date]])</f>
        <v>0</v>
      </c>
    </row>
    <row r="301" spans="3:14" x14ac:dyDescent="0.25">
      <c r="C301" s="1">
        <v>45868</v>
      </c>
      <c r="D301" s="2" t="s">
        <v>20</v>
      </c>
      <c r="E301">
        <v>0</v>
      </c>
      <c r="F301">
        <v>33.130000000000003</v>
      </c>
      <c r="G301">
        <v>33.76</v>
      </c>
      <c r="H301">
        <v>33</v>
      </c>
      <c r="I301">
        <v>33.72</v>
      </c>
      <c r="J301">
        <v>3883812</v>
      </c>
      <c r="K301">
        <v>0</v>
      </c>
      <c r="L301">
        <f t="shared" si="5"/>
        <v>0</v>
      </c>
      <c r="M301">
        <f>+IF(DailyData[[#This Row],[Column1]]&gt;0,DailyData[[#This Row],[Column1]]-L288,0)</f>
        <v>0</v>
      </c>
      <c r="N301" s="1">
        <f>+IF(DailyData[[#This Row],[Column2]]=0,0,DailyData[[#This Row],[Date]])</f>
        <v>0</v>
      </c>
    </row>
    <row r="302" spans="3:14" x14ac:dyDescent="0.25">
      <c r="C302" s="1">
        <v>45868</v>
      </c>
      <c r="D302" s="2" t="s">
        <v>21</v>
      </c>
      <c r="E302">
        <v>1288</v>
      </c>
      <c r="F302">
        <v>27</v>
      </c>
      <c r="G302">
        <v>27.07</v>
      </c>
      <c r="H302">
        <v>26.49</v>
      </c>
      <c r="I302">
        <v>26.57</v>
      </c>
      <c r="J302">
        <v>5448283</v>
      </c>
      <c r="K302">
        <v>34222.160000000003</v>
      </c>
      <c r="L302">
        <f t="shared" si="5"/>
        <v>969198.13</v>
      </c>
      <c r="M302">
        <f>+IF(DailyData[[#This Row],[Column1]]&gt;0,DailyData[[#This Row],[Column1]]-L289,0)</f>
        <v>2539.0699999999488</v>
      </c>
      <c r="N302" s="1">
        <f>+IF(DailyData[[#This Row],[Column2]]=0,0,DailyData[[#This Row],[Date]])</f>
        <v>45868</v>
      </c>
    </row>
    <row r="303" spans="3:14" x14ac:dyDescent="0.25">
      <c r="C303" s="1">
        <v>45869</v>
      </c>
      <c r="D303" s="2" t="s">
        <v>9</v>
      </c>
      <c r="E303">
        <v>153181</v>
      </c>
      <c r="F303">
        <v>0.74</v>
      </c>
      <c r="G303">
        <v>0.74</v>
      </c>
      <c r="H303">
        <v>0.71</v>
      </c>
      <c r="I303">
        <v>0.71499999999999997</v>
      </c>
      <c r="J303">
        <v>3123744</v>
      </c>
      <c r="K303">
        <v>109524.41</v>
      </c>
      <c r="L303">
        <f t="shared" si="5"/>
        <v>0</v>
      </c>
      <c r="M303">
        <f>+IF(DailyData[[#This Row],[Column1]]&gt;0,DailyData[[#This Row],[Column1]]-L290,0)</f>
        <v>0</v>
      </c>
      <c r="N303" s="1">
        <f>+IF(DailyData[[#This Row],[Column2]]=0,0,DailyData[[#This Row],[Date]])</f>
        <v>0</v>
      </c>
    </row>
    <row r="304" spans="3:14" x14ac:dyDescent="0.25">
      <c r="C304" s="1">
        <v>45869</v>
      </c>
      <c r="D304" s="2" t="s">
        <v>10</v>
      </c>
      <c r="E304">
        <v>70000</v>
      </c>
      <c r="F304">
        <v>1.61</v>
      </c>
      <c r="G304">
        <v>1.61</v>
      </c>
      <c r="H304">
        <v>1.5820000000000001</v>
      </c>
      <c r="I304">
        <v>1.6</v>
      </c>
      <c r="J304">
        <v>9779339</v>
      </c>
      <c r="K304">
        <v>112000</v>
      </c>
      <c r="L304">
        <f t="shared" si="5"/>
        <v>0</v>
      </c>
      <c r="M304">
        <f>+IF(DailyData[[#This Row],[Column1]]&gt;0,DailyData[[#This Row],[Column1]]-L291,0)</f>
        <v>0</v>
      </c>
      <c r="N304" s="1">
        <f>+IF(DailyData[[#This Row],[Column2]]=0,0,DailyData[[#This Row],[Date]])</f>
        <v>0</v>
      </c>
    </row>
    <row r="305" spans="3:14" x14ac:dyDescent="0.25">
      <c r="C305" s="1">
        <v>45869</v>
      </c>
      <c r="D305" s="2" t="s">
        <v>11</v>
      </c>
      <c r="E305">
        <v>57458</v>
      </c>
      <c r="F305">
        <v>0.56000000000000005</v>
      </c>
      <c r="G305">
        <v>0.56000000000000005</v>
      </c>
      <c r="H305">
        <v>0.54500000000000004</v>
      </c>
      <c r="I305">
        <v>0.54500000000000004</v>
      </c>
      <c r="J305">
        <v>610129</v>
      </c>
      <c r="K305">
        <v>31314.61</v>
      </c>
      <c r="L305">
        <f t="shared" si="5"/>
        <v>0</v>
      </c>
      <c r="M305">
        <f>+IF(DailyData[[#This Row],[Column1]]&gt;0,DailyData[[#This Row],[Column1]]-L292,0)</f>
        <v>0</v>
      </c>
      <c r="N305" s="1">
        <f>+IF(DailyData[[#This Row],[Column2]]=0,0,DailyData[[#This Row],[Date]])</f>
        <v>0</v>
      </c>
    </row>
    <row r="306" spans="3:14" x14ac:dyDescent="0.25">
      <c r="C306" s="1">
        <v>45869</v>
      </c>
      <c r="D306" s="2" t="s">
        <v>12</v>
      </c>
      <c r="E306">
        <v>16361</v>
      </c>
      <c r="F306">
        <v>39.270000000000003</v>
      </c>
      <c r="G306">
        <v>39.685000000000002</v>
      </c>
      <c r="H306">
        <v>39.18</v>
      </c>
      <c r="I306">
        <v>39.25</v>
      </c>
      <c r="J306">
        <v>11994238</v>
      </c>
      <c r="K306">
        <v>642169.25</v>
      </c>
      <c r="L306">
        <f t="shared" si="5"/>
        <v>0</v>
      </c>
      <c r="M306">
        <f>+IF(DailyData[[#This Row],[Column1]]&gt;0,DailyData[[#This Row],[Column1]]-L293,0)</f>
        <v>0</v>
      </c>
      <c r="N306" s="1">
        <f>+IF(DailyData[[#This Row],[Column2]]=0,0,DailyData[[#This Row],[Date]])</f>
        <v>0</v>
      </c>
    </row>
    <row r="307" spans="3:14" x14ac:dyDescent="0.25">
      <c r="C307" s="1">
        <v>45869</v>
      </c>
      <c r="D307" s="2" t="s">
        <v>13</v>
      </c>
      <c r="E307">
        <v>44090</v>
      </c>
      <c r="F307">
        <v>1.4E-2</v>
      </c>
      <c r="G307">
        <v>1.6E-2</v>
      </c>
      <c r="H307">
        <v>1.4E-2</v>
      </c>
      <c r="I307">
        <v>1.4999999999999999E-2</v>
      </c>
      <c r="J307">
        <v>1687072</v>
      </c>
      <c r="K307">
        <v>661.35</v>
      </c>
      <c r="L307">
        <f t="shared" si="5"/>
        <v>0</v>
      </c>
      <c r="M307">
        <f>+IF(DailyData[[#This Row],[Column1]]&gt;0,DailyData[[#This Row],[Column1]]-L294,0)</f>
        <v>0</v>
      </c>
      <c r="N307" s="1">
        <f>+IF(DailyData[[#This Row],[Column2]]=0,0,DailyData[[#This Row],[Date]])</f>
        <v>0</v>
      </c>
    </row>
    <row r="308" spans="3:14" x14ac:dyDescent="0.25">
      <c r="C308" s="1">
        <v>45869</v>
      </c>
      <c r="D308" s="2" t="s">
        <v>14</v>
      </c>
      <c r="E308">
        <v>0</v>
      </c>
      <c r="F308">
        <v>177.11</v>
      </c>
      <c r="G308">
        <v>178.19</v>
      </c>
      <c r="H308">
        <v>176.11</v>
      </c>
      <c r="I308">
        <v>177.91</v>
      </c>
      <c r="J308">
        <v>1918660</v>
      </c>
      <c r="K308">
        <v>0</v>
      </c>
      <c r="L308">
        <f t="shared" si="5"/>
        <v>0</v>
      </c>
      <c r="M308">
        <f>+IF(DailyData[[#This Row],[Column1]]&gt;0,DailyData[[#This Row],[Column1]]-L295,0)</f>
        <v>0</v>
      </c>
      <c r="N308" s="1">
        <f>+IF(DailyData[[#This Row],[Column2]]=0,0,DailyData[[#This Row],[Date]])</f>
        <v>0</v>
      </c>
    </row>
    <row r="309" spans="3:14" x14ac:dyDescent="0.25">
      <c r="C309" s="1">
        <v>45869</v>
      </c>
      <c r="D309" s="2" t="s">
        <v>15</v>
      </c>
      <c r="E309">
        <v>10000</v>
      </c>
      <c r="F309">
        <v>0.375</v>
      </c>
      <c r="G309">
        <v>0.375</v>
      </c>
      <c r="H309">
        <v>0.35499999999999998</v>
      </c>
      <c r="I309">
        <v>0.375</v>
      </c>
      <c r="J309">
        <v>418028</v>
      </c>
      <c r="K309">
        <v>3750</v>
      </c>
      <c r="L309">
        <f t="shared" si="5"/>
        <v>0</v>
      </c>
      <c r="M309">
        <f>+IF(DailyData[[#This Row],[Column1]]&gt;0,DailyData[[#This Row],[Column1]]-L296,0)</f>
        <v>0</v>
      </c>
      <c r="N309" s="1">
        <f>+IF(DailyData[[#This Row],[Column2]]=0,0,DailyData[[#This Row],[Date]])</f>
        <v>0</v>
      </c>
    </row>
    <row r="310" spans="3:14" x14ac:dyDescent="0.25">
      <c r="C310" s="1">
        <v>45869</v>
      </c>
      <c r="D310" s="2" t="s">
        <v>16</v>
      </c>
      <c r="E310">
        <v>20000</v>
      </c>
      <c r="F310">
        <v>0.26500000000000001</v>
      </c>
      <c r="G310">
        <v>0.26500000000000001</v>
      </c>
      <c r="H310">
        <v>0.25</v>
      </c>
      <c r="I310">
        <v>0.255</v>
      </c>
      <c r="J310">
        <v>192755</v>
      </c>
      <c r="K310">
        <v>5100</v>
      </c>
      <c r="L310">
        <f t="shared" si="5"/>
        <v>0</v>
      </c>
      <c r="M310">
        <f>+IF(DailyData[[#This Row],[Column1]]&gt;0,DailyData[[#This Row],[Column1]]-L297,0)</f>
        <v>0</v>
      </c>
      <c r="N310" s="1">
        <f>+IF(DailyData[[#This Row],[Column2]]=0,0,DailyData[[#This Row],[Date]])</f>
        <v>0</v>
      </c>
    </row>
    <row r="311" spans="3:14" x14ac:dyDescent="0.25">
      <c r="C311" s="1">
        <v>45869</v>
      </c>
      <c r="D311" s="2" t="s">
        <v>17</v>
      </c>
      <c r="E311">
        <v>700000</v>
      </c>
      <c r="F311">
        <v>3.0000000000000001E-3</v>
      </c>
      <c r="G311">
        <v>3.0000000000000001E-3</v>
      </c>
      <c r="H311">
        <v>2E-3</v>
      </c>
      <c r="I311">
        <v>2E-3</v>
      </c>
      <c r="J311">
        <v>2942132</v>
      </c>
      <c r="K311">
        <v>1750</v>
      </c>
      <c r="L311">
        <f t="shared" si="5"/>
        <v>0</v>
      </c>
      <c r="M311">
        <f>+IF(DailyData[[#This Row],[Column1]]&gt;0,DailyData[[#This Row],[Column1]]-L298,0)</f>
        <v>0</v>
      </c>
      <c r="N311" s="1">
        <f>+IF(DailyData[[#This Row],[Column2]]=0,0,DailyData[[#This Row],[Date]])</f>
        <v>0</v>
      </c>
    </row>
    <row r="312" spans="3:14" x14ac:dyDescent="0.25">
      <c r="C312" s="1">
        <v>45869</v>
      </c>
      <c r="D312" s="2" t="s">
        <v>18</v>
      </c>
      <c r="E312">
        <v>9412</v>
      </c>
      <c r="F312">
        <v>0.37</v>
      </c>
      <c r="G312">
        <v>0.38</v>
      </c>
      <c r="H312">
        <v>0.37</v>
      </c>
      <c r="I312">
        <v>0.37</v>
      </c>
      <c r="J312">
        <v>65018</v>
      </c>
      <c r="K312">
        <v>3482.44</v>
      </c>
      <c r="L312">
        <f t="shared" si="5"/>
        <v>0</v>
      </c>
      <c r="M312">
        <f>+IF(DailyData[[#This Row],[Column1]]&gt;0,DailyData[[#This Row],[Column1]]-L299,0)</f>
        <v>0</v>
      </c>
      <c r="N312" s="1">
        <f>+IF(DailyData[[#This Row],[Column2]]=0,0,DailyData[[#This Row],[Date]])</f>
        <v>0</v>
      </c>
    </row>
    <row r="313" spans="3:14" x14ac:dyDescent="0.25">
      <c r="C313" s="1">
        <v>45869</v>
      </c>
      <c r="D313" s="2" t="s">
        <v>19</v>
      </c>
      <c r="E313">
        <v>6000</v>
      </c>
      <c r="F313">
        <v>0.115</v>
      </c>
      <c r="G313">
        <v>0.115</v>
      </c>
      <c r="H313">
        <v>0.105</v>
      </c>
      <c r="I313">
        <v>0.105</v>
      </c>
      <c r="J313">
        <v>102369</v>
      </c>
      <c r="K313">
        <v>630</v>
      </c>
      <c r="L313">
        <f t="shared" si="5"/>
        <v>0</v>
      </c>
      <c r="M313">
        <f>+IF(DailyData[[#This Row],[Column1]]&gt;0,DailyData[[#This Row],[Column1]]-L300,0)</f>
        <v>0</v>
      </c>
      <c r="N313" s="1">
        <f>+IF(DailyData[[#This Row],[Column2]]=0,0,DailyData[[#This Row],[Date]])</f>
        <v>0</v>
      </c>
    </row>
    <row r="314" spans="3:14" x14ac:dyDescent="0.25">
      <c r="C314" s="1">
        <v>45869</v>
      </c>
      <c r="D314" s="2" t="s">
        <v>20</v>
      </c>
      <c r="E314">
        <v>0</v>
      </c>
      <c r="F314">
        <v>33.450000000000003</v>
      </c>
      <c r="G314">
        <v>33.909999999999997</v>
      </c>
      <c r="H314">
        <v>33.450000000000003</v>
      </c>
      <c r="I314">
        <v>33.82</v>
      </c>
      <c r="J314">
        <v>4249999</v>
      </c>
      <c r="K314">
        <v>0</v>
      </c>
      <c r="L314">
        <f t="shared" si="5"/>
        <v>0</v>
      </c>
      <c r="M314">
        <f>+IF(DailyData[[#This Row],[Column1]]&gt;0,DailyData[[#This Row],[Column1]]-L301,0)</f>
        <v>0</v>
      </c>
      <c r="N314" s="1">
        <f>+IF(DailyData[[#This Row],[Column2]]=0,0,DailyData[[#This Row],[Date]])</f>
        <v>0</v>
      </c>
    </row>
    <row r="315" spans="3:14" x14ac:dyDescent="0.25">
      <c r="C315" s="1">
        <v>45869</v>
      </c>
      <c r="D315" s="2" t="s">
        <v>21</v>
      </c>
      <c r="E315">
        <v>1288</v>
      </c>
      <c r="F315">
        <v>26.46</v>
      </c>
      <c r="G315">
        <v>26.63</v>
      </c>
      <c r="H315">
        <v>26.24</v>
      </c>
      <c r="I315">
        <v>26.59</v>
      </c>
      <c r="J315">
        <v>4275019</v>
      </c>
      <c r="K315">
        <v>34247.919999999998</v>
      </c>
      <c r="L315">
        <f t="shared" si="5"/>
        <v>944629.98</v>
      </c>
      <c r="M315">
        <f>+IF(DailyData[[#This Row],[Column1]]&gt;0,DailyData[[#This Row],[Column1]]-L302,0)</f>
        <v>-24568.150000000023</v>
      </c>
      <c r="N315" s="1">
        <f>+IF(DailyData[[#This Row],[Column2]]=0,0,DailyData[[#This Row],[Date]])</f>
        <v>45869</v>
      </c>
    </row>
    <row r="316" spans="3:14" x14ac:dyDescent="0.25">
      <c r="C316" s="1">
        <v>45870</v>
      </c>
      <c r="D316" s="2" t="s">
        <v>9</v>
      </c>
      <c r="E316">
        <v>153181</v>
      </c>
      <c r="F316">
        <v>0.72</v>
      </c>
      <c r="G316">
        <v>0.72299999999999998</v>
      </c>
      <c r="H316">
        <v>0.7</v>
      </c>
      <c r="I316">
        <v>0.7</v>
      </c>
      <c r="J316">
        <v>3152395</v>
      </c>
      <c r="K316">
        <v>107226.7</v>
      </c>
      <c r="L316">
        <f t="shared" si="5"/>
        <v>0</v>
      </c>
      <c r="M316">
        <f>+IF(DailyData[[#This Row],[Column1]]&gt;0,DailyData[[#This Row],[Column1]]-L303,0)</f>
        <v>0</v>
      </c>
      <c r="N316" s="1">
        <f>+IF(DailyData[[#This Row],[Column2]]=0,0,DailyData[[#This Row],[Date]])</f>
        <v>0</v>
      </c>
    </row>
    <row r="317" spans="3:14" x14ac:dyDescent="0.25">
      <c r="C317" s="1">
        <v>45870</v>
      </c>
      <c r="D317" s="2" t="s">
        <v>10</v>
      </c>
      <c r="E317">
        <v>70000</v>
      </c>
      <c r="F317">
        <v>1.58</v>
      </c>
      <c r="G317">
        <v>1.633</v>
      </c>
      <c r="H317">
        <v>1.575</v>
      </c>
      <c r="I317">
        <v>1.63</v>
      </c>
      <c r="J317">
        <v>11128903</v>
      </c>
      <c r="K317">
        <v>114100</v>
      </c>
      <c r="L317">
        <f t="shared" si="5"/>
        <v>0</v>
      </c>
      <c r="M317">
        <f>+IF(DailyData[[#This Row],[Column1]]&gt;0,DailyData[[#This Row],[Column1]]-L304,0)</f>
        <v>0</v>
      </c>
      <c r="N317" s="1">
        <f>+IF(DailyData[[#This Row],[Column2]]=0,0,DailyData[[#This Row],[Date]])</f>
        <v>0</v>
      </c>
    </row>
    <row r="318" spans="3:14" x14ac:dyDescent="0.25">
      <c r="C318" s="1">
        <v>45870</v>
      </c>
      <c r="D318" s="2" t="s">
        <v>11</v>
      </c>
      <c r="E318">
        <v>57458</v>
      </c>
      <c r="F318">
        <v>0.54500000000000004</v>
      </c>
      <c r="G318">
        <v>0.55500000000000005</v>
      </c>
      <c r="H318">
        <v>0.54</v>
      </c>
      <c r="I318">
        <v>0.54500000000000004</v>
      </c>
      <c r="J318">
        <v>724813</v>
      </c>
      <c r="K318">
        <v>31314.61</v>
      </c>
      <c r="L318">
        <f t="shared" si="5"/>
        <v>0</v>
      </c>
      <c r="M318">
        <f>+IF(DailyData[[#This Row],[Column1]]&gt;0,DailyData[[#This Row],[Column1]]-L305,0)</f>
        <v>0</v>
      </c>
      <c r="N318" s="1">
        <f>+IF(DailyData[[#This Row],[Column2]]=0,0,DailyData[[#This Row],[Date]])</f>
        <v>0</v>
      </c>
    </row>
    <row r="319" spans="3:14" x14ac:dyDescent="0.25">
      <c r="C319" s="1">
        <v>45870</v>
      </c>
      <c r="D319" s="2" t="s">
        <v>12</v>
      </c>
      <c r="E319">
        <v>16361</v>
      </c>
      <c r="F319">
        <v>39.450000000000003</v>
      </c>
      <c r="G319">
        <v>39.69</v>
      </c>
      <c r="H319">
        <v>39.22</v>
      </c>
      <c r="I319">
        <v>39.22</v>
      </c>
      <c r="J319">
        <v>7455836</v>
      </c>
      <c r="K319">
        <v>641678.43999999994</v>
      </c>
      <c r="L319">
        <f t="shared" si="5"/>
        <v>0</v>
      </c>
      <c r="M319">
        <f>+IF(DailyData[[#This Row],[Column1]]&gt;0,DailyData[[#This Row],[Column1]]-L306,0)</f>
        <v>0</v>
      </c>
      <c r="N319" s="1">
        <f>+IF(DailyData[[#This Row],[Column2]]=0,0,DailyData[[#This Row],[Date]])</f>
        <v>0</v>
      </c>
    </row>
    <row r="320" spans="3:14" x14ac:dyDescent="0.25">
      <c r="C320" s="1">
        <v>45870</v>
      </c>
      <c r="D320" s="2" t="s">
        <v>13</v>
      </c>
      <c r="E320">
        <v>44090</v>
      </c>
      <c r="F320">
        <v>1.6E-2</v>
      </c>
      <c r="G320">
        <v>1.6E-2</v>
      </c>
      <c r="H320">
        <v>1.4E-2</v>
      </c>
      <c r="I320">
        <v>1.4999999999999999E-2</v>
      </c>
      <c r="J320">
        <v>1608169</v>
      </c>
      <c r="K320">
        <v>661.35</v>
      </c>
      <c r="L320">
        <f t="shared" si="5"/>
        <v>0</v>
      </c>
      <c r="M320">
        <f>+IF(DailyData[[#This Row],[Column1]]&gt;0,DailyData[[#This Row],[Column1]]-L307,0)</f>
        <v>0</v>
      </c>
      <c r="N320" s="1">
        <f>+IF(DailyData[[#This Row],[Column2]]=0,0,DailyData[[#This Row],[Date]])</f>
        <v>0</v>
      </c>
    </row>
    <row r="321" spans="3:14" x14ac:dyDescent="0.25">
      <c r="C321" s="1">
        <v>45870</v>
      </c>
      <c r="D321" s="2" t="s">
        <v>14</v>
      </c>
      <c r="E321">
        <v>0</v>
      </c>
      <c r="F321">
        <v>176</v>
      </c>
      <c r="G321">
        <v>176.86</v>
      </c>
      <c r="H321">
        <v>174.62</v>
      </c>
      <c r="I321">
        <v>175.06</v>
      </c>
      <c r="J321">
        <v>1725512</v>
      </c>
      <c r="K321">
        <v>0</v>
      </c>
      <c r="L321">
        <f t="shared" si="5"/>
        <v>0</v>
      </c>
      <c r="M321">
        <f>+IF(DailyData[[#This Row],[Column1]]&gt;0,DailyData[[#This Row],[Column1]]-L308,0)</f>
        <v>0</v>
      </c>
      <c r="N321" s="1">
        <f>+IF(DailyData[[#This Row],[Column2]]=0,0,DailyData[[#This Row],[Date]])</f>
        <v>0</v>
      </c>
    </row>
    <row r="322" spans="3:14" x14ac:dyDescent="0.25">
      <c r="C322" s="1">
        <v>45870</v>
      </c>
      <c r="D322" s="2" t="s">
        <v>15</v>
      </c>
      <c r="E322">
        <v>10000</v>
      </c>
      <c r="F322">
        <v>0.375</v>
      </c>
      <c r="G322">
        <v>0.375</v>
      </c>
      <c r="H322">
        <v>0.35</v>
      </c>
      <c r="I322">
        <v>0.35499999999999998</v>
      </c>
      <c r="J322">
        <v>135059</v>
      </c>
      <c r="K322">
        <v>3550</v>
      </c>
      <c r="L322">
        <f t="shared" si="5"/>
        <v>0</v>
      </c>
      <c r="M322">
        <f>+IF(DailyData[[#This Row],[Column1]]&gt;0,DailyData[[#This Row],[Column1]]-L309,0)</f>
        <v>0</v>
      </c>
      <c r="N322" s="1">
        <f>+IF(DailyData[[#This Row],[Column2]]=0,0,DailyData[[#This Row],[Date]])</f>
        <v>0</v>
      </c>
    </row>
    <row r="323" spans="3:14" x14ac:dyDescent="0.25">
      <c r="C323" s="1">
        <v>45870</v>
      </c>
      <c r="D323" s="2" t="s">
        <v>16</v>
      </c>
      <c r="E323">
        <v>20000</v>
      </c>
      <c r="F323">
        <v>0.255</v>
      </c>
      <c r="G323">
        <v>0.255</v>
      </c>
      <c r="H323">
        <v>0.25</v>
      </c>
      <c r="I323">
        <v>0.25</v>
      </c>
      <c r="J323">
        <v>7519</v>
      </c>
      <c r="K323">
        <v>5000</v>
      </c>
      <c r="L323">
        <f t="shared" si="5"/>
        <v>0</v>
      </c>
      <c r="M323">
        <f>+IF(DailyData[[#This Row],[Column1]]&gt;0,DailyData[[#This Row],[Column1]]-L310,0)</f>
        <v>0</v>
      </c>
      <c r="N323" s="1">
        <f>+IF(DailyData[[#This Row],[Column2]]=0,0,DailyData[[#This Row],[Date]])</f>
        <v>0</v>
      </c>
    </row>
    <row r="324" spans="3:14" x14ac:dyDescent="0.25">
      <c r="C324" s="1">
        <v>45870</v>
      </c>
      <c r="D324" s="2" t="s">
        <v>17</v>
      </c>
      <c r="E324">
        <v>700000</v>
      </c>
      <c r="F324">
        <v>2E-3</v>
      </c>
      <c r="G324">
        <v>2E-3</v>
      </c>
      <c r="H324">
        <v>2E-3</v>
      </c>
      <c r="I324">
        <v>2E-3</v>
      </c>
      <c r="J324">
        <v>120000</v>
      </c>
      <c r="K324">
        <v>1750</v>
      </c>
      <c r="L324">
        <f t="shared" si="5"/>
        <v>0</v>
      </c>
      <c r="M324">
        <f>+IF(DailyData[[#This Row],[Column1]]&gt;0,DailyData[[#This Row],[Column1]]-L311,0)</f>
        <v>0</v>
      </c>
      <c r="N324" s="1">
        <f>+IF(DailyData[[#This Row],[Column2]]=0,0,DailyData[[#This Row],[Date]])</f>
        <v>0</v>
      </c>
    </row>
    <row r="325" spans="3:14" x14ac:dyDescent="0.25">
      <c r="C325" s="1">
        <v>45870</v>
      </c>
      <c r="D325" s="2" t="s">
        <v>18</v>
      </c>
      <c r="E325">
        <v>9412</v>
      </c>
      <c r="F325">
        <v>0.37</v>
      </c>
      <c r="G325">
        <v>0.37</v>
      </c>
      <c r="H325">
        <v>0.35</v>
      </c>
      <c r="I325">
        <v>0.36499999999999999</v>
      </c>
      <c r="J325">
        <v>162409</v>
      </c>
      <c r="K325">
        <v>3435.38</v>
      </c>
      <c r="L325">
        <f t="shared" si="5"/>
        <v>0</v>
      </c>
      <c r="M325">
        <f>+IF(DailyData[[#This Row],[Column1]]&gt;0,DailyData[[#This Row],[Column1]]-L312,0)</f>
        <v>0</v>
      </c>
      <c r="N325" s="1">
        <f>+IF(DailyData[[#This Row],[Column2]]=0,0,DailyData[[#This Row],[Date]])</f>
        <v>0</v>
      </c>
    </row>
    <row r="326" spans="3:14" x14ac:dyDescent="0.25">
      <c r="C326" s="1">
        <v>45870</v>
      </c>
      <c r="D326" s="2" t="s">
        <v>19</v>
      </c>
      <c r="E326">
        <v>6000</v>
      </c>
      <c r="F326">
        <v>0.105</v>
      </c>
      <c r="G326">
        <v>0.105</v>
      </c>
      <c r="H326">
        <v>8.8999999999999996E-2</v>
      </c>
      <c r="I326">
        <v>9.4E-2</v>
      </c>
      <c r="J326">
        <v>1009861</v>
      </c>
      <c r="K326">
        <v>564</v>
      </c>
      <c r="L326">
        <f t="shared" si="5"/>
        <v>0</v>
      </c>
      <c r="M326">
        <f>+IF(DailyData[[#This Row],[Column1]]&gt;0,DailyData[[#This Row],[Column1]]-L313,0)</f>
        <v>0</v>
      </c>
      <c r="N326" s="1">
        <f>+IF(DailyData[[#This Row],[Column2]]=0,0,DailyData[[#This Row],[Date]])</f>
        <v>0</v>
      </c>
    </row>
    <row r="327" spans="3:14" x14ac:dyDescent="0.25">
      <c r="C327" s="1">
        <v>45870</v>
      </c>
      <c r="D327" s="2" t="s">
        <v>20</v>
      </c>
      <c r="E327">
        <v>0</v>
      </c>
      <c r="F327">
        <v>33.58</v>
      </c>
      <c r="G327">
        <v>33.659999999999997</v>
      </c>
      <c r="H327">
        <v>33.29</v>
      </c>
      <c r="I327">
        <v>33.450000000000003</v>
      </c>
      <c r="J327">
        <v>3434805</v>
      </c>
      <c r="K327">
        <v>0</v>
      </c>
      <c r="L327">
        <f t="shared" si="5"/>
        <v>0</v>
      </c>
      <c r="M327">
        <f>+IF(DailyData[[#This Row],[Column1]]&gt;0,DailyData[[#This Row],[Column1]]-L314,0)</f>
        <v>0</v>
      </c>
      <c r="N327" s="1">
        <f>+IF(DailyData[[#This Row],[Column2]]=0,0,DailyData[[#This Row],[Date]])</f>
        <v>0</v>
      </c>
    </row>
    <row r="328" spans="3:14" x14ac:dyDescent="0.25">
      <c r="C328" s="1">
        <v>45870</v>
      </c>
      <c r="D328" s="2" t="s">
        <v>21</v>
      </c>
      <c r="E328">
        <v>1288</v>
      </c>
      <c r="F328">
        <v>26.4</v>
      </c>
      <c r="G328">
        <v>26.59</v>
      </c>
      <c r="H328">
        <v>26.21</v>
      </c>
      <c r="I328">
        <v>26.53</v>
      </c>
      <c r="J328">
        <v>2647575</v>
      </c>
      <c r="K328">
        <v>34170.639999999999</v>
      </c>
      <c r="L328">
        <f t="shared" si="5"/>
        <v>943451.12</v>
      </c>
      <c r="M328">
        <f>+IF(DailyData[[#This Row],[Column1]]&gt;0,DailyData[[#This Row],[Column1]]-L315,0)</f>
        <v>-1178.859999999986</v>
      </c>
      <c r="N328" s="1">
        <f>+IF(DailyData[[#This Row],[Column2]]=0,0,DailyData[[#This Row],[Date]])</f>
        <v>45870</v>
      </c>
    </row>
    <row r="329" spans="3:14" x14ac:dyDescent="0.25">
      <c r="C329" s="1">
        <v>45873</v>
      </c>
      <c r="D329" s="2" t="s">
        <v>9</v>
      </c>
      <c r="E329">
        <v>153181</v>
      </c>
      <c r="F329">
        <v>0.71</v>
      </c>
      <c r="G329">
        <v>0.71499999999999997</v>
      </c>
      <c r="H329">
        <v>0.7</v>
      </c>
      <c r="I329">
        <v>0.70499999999999996</v>
      </c>
      <c r="J329">
        <v>2214720</v>
      </c>
      <c r="K329">
        <v>107992.6</v>
      </c>
      <c r="L329">
        <f t="shared" si="5"/>
        <v>0</v>
      </c>
      <c r="M329">
        <f>+IF(DailyData[[#This Row],[Column1]]&gt;0,DailyData[[#This Row],[Column1]]-L316,0)</f>
        <v>0</v>
      </c>
      <c r="N329" s="1">
        <f>+IF(DailyData[[#This Row],[Column2]]=0,0,DailyData[[#This Row],[Date]])</f>
        <v>0</v>
      </c>
    </row>
    <row r="330" spans="3:14" x14ac:dyDescent="0.25">
      <c r="C330" s="1">
        <v>45873</v>
      </c>
      <c r="D330" s="2" t="s">
        <v>10</v>
      </c>
      <c r="E330">
        <v>70000</v>
      </c>
      <c r="F330">
        <v>1.6</v>
      </c>
      <c r="G330">
        <v>1.62</v>
      </c>
      <c r="H330">
        <v>1.595</v>
      </c>
      <c r="I330">
        <v>1.6</v>
      </c>
      <c r="J330">
        <v>5808405</v>
      </c>
      <c r="K330">
        <v>112000</v>
      </c>
      <c r="L330">
        <f t="shared" si="5"/>
        <v>0</v>
      </c>
      <c r="M330">
        <f>+IF(DailyData[[#This Row],[Column1]]&gt;0,DailyData[[#This Row],[Column1]]-L317,0)</f>
        <v>0</v>
      </c>
      <c r="N330" s="1">
        <f>+IF(DailyData[[#This Row],[Column2]]=0,0,DailyData[[#This Row],[Date]])</f>
        <v>0</v>
      </c>
    </row>
    <row r="331" spans="3:14" x14ac:dyDescent="0.25">
      <c r="C331" s="1">
        <v>45873</v>
      </c>
      <c r="D331" s="2" t="s">
        <v>11</v>
      </c>
      <c r="E331">
        <v>57458</v>
      </c>
      <c r="F331">
        <v>0.54500000000000004</v>
      </c>
      <c r="G331">
        <v>0.55000000000000004</v>
      </c>
      <c r="H331">
        <v>0.53500000000000003</v>
      </c>
      <c r="I331">
        <v>0.54500000000000004</v>
      </c>
      <c r="J331">
        <v>732243</v>
      </c>
      <c r="K331">
        <v>31314.61</v>
      </c>
      <c r="L331">
        <f t="shared" si="5"/>
        <v>0</v>
      </c>
      <c r="M331">
        <f>+IF(DailyData[[#This Row],[Column1]]&gt;0,DailyData[[#This Row],[Column1]]-L318,0)</f>
        <v>0</v>
      </c>
      <c r="N331" s="1">
        <f>+IF(DailyData[[#This Row],[Column2]]=0,0,DailyData[[#This Row],[Date]])</f>
        <v>0</v>
      </c>
    </row>
    <row r="332" spans="3:14" x14ac:dyDescent="0.25">
      <c r="C332" s="1">
        <v>45873</v>
      </c>
      <c r="D332" s="2" t="s">
        <v>12</v>
      </c>
      <c r="E332">
        <v>16361</v>
      </c>
      <c r="F332">
        <v>39.380000000000003</v>
      </c>
      <c r="G332">
        <v>39.76</v>
      </c>
      <c r="H332">
        <v>39.18</v>
      </c>
      <c r="I332">
        <v>39.590000000000003</v>
      </c>
      <c r="J332">
        <v>4916672</v>
      </c>
      <c r="K332">
        <v>647731.99</v>
      </c>
      <c r="L332">
        <f t="shared" si="5"/>
        <v>0</v>
      </c>
      <c r="M332">
        <f>+IF(DailyData[[#This Row],[Column1]]&gt;0,DailyData[[#This Row],[Column1]]-L319,0)</f>
        <v>0</v>
      </c>
      <c r="N332" s="1">
        <f>+IF(DailyData[[#This Row],[Column2]]=0,0,DailyData[[#This Row],[Date]])</f>
        <v>0</v>
      </c>
    </row>
    <row r="333" spans="3:14" x14ac:dyDescent="0.25">
      <c r="C333" s="1">
        <v>45873</v>
      </c>
      <c r="D333" s="2" t="s">
        <v>13</v>
      </c>
      <c r="E333">
        <v>44090</v>
      </c>
      <c r="F333">
        <v>1.4999999999999999E-2</v>
      </c>
      <c r="G333">
        <v>1.4999999999999999E-2</v>
      </c>
      <c r="H333">
        <v>1.4E-2</v>
      </c>
      <c r="I333">
        <v>1.4999999999999999E-2</v>
      </c>
      <c r="J333">
        <v>555505</v>
      </c>
      <c r="K333">
        <v>661.35</v>
      </c>
      <c r="L333">
        <f t="shared" si="5"/>
        <v>0</v>
      </c>
      <c r="M333">
        <f>+IF(DailyData[[#This Row],[Column1]]&gt;0,DailyData[[#This Row],[Column1]]-L320,0)</f>
        <v>0</v>
      </c>
      <c r="N333" s="1">
        <f>+IF(DailyData[[#This Row],[Column2]]=0,0,DailyData[[#This Row],[Date]])</f>
        <v>0</v>
      </c>
    </row>
    <row r="334" spans="3:14" x14ac:dyDescent="0.25">
      <c r="C334" s="1">
        <v>45873</v>
      </c>
      <c r="D334" s="2" t="s">
        <v>14</v>
      </c>
      <c r="E334">
        <v>0</v>
      </c>
      <c r="F334">
        <v>174</v>
      </c>
      <c r="G334">
        <v>174.93</v>
      </c>
      <c r="H334">
        <v>173.43</v>
      </c>
      <c r="I334">
        <v>174.93</v>
      </c>
      <c r="J334">
        <v>1178894</v>
      </c>
      <c r="K334">
        <v>0</v>
      </c>
      <c r="L334">
        <f t="shared" si="5"/>
        <v>0</v>
      </c>
      <c r="M334">
        <f>+IF(DailyData[[#This Row],[Column1]]&gt;0,DailyData[[#This Row],[Column1]]-L321,0)</f>
        <v>0</v>
      </c>
      <c r="N334" s="1">
        <f>+IF(DailyData[[#This Row],[Column2]]=0,0,DailyData[[#This Row],[Date]])</f>
        <v>0</v>
      </c>
    </row>
    <row r="335" spans="3:14" x14ac:dyDescent="0.25">
      <c r="C335" s="1">
        <v>45873</v>
      </c>
      <c r="D335" s="2" t="s">
        <v>15</v>
      </c>
      <c r="E335">
        <v>10000</v>
      </c>
      <c r="F335">
        <v>0.35</v>
      </c>
      <c r="G335">
        <v>0.36499999999999999</v>
      </c>
      <c r="H335">
        <v>0.35</v>
      </c>
      <c r="I335">
        <v>0.36</v>
      </c>
      <c r="J335">
        <v>228809</v>
      </c>
      <c r="K335">
        <v>3600</v>
      </c>
      <c r="L335">
        <f t="shared" si="5"/>
        <v>0</v>
      </c>
      <c r="M335">
        <f>+IF(DailyData[[#This Row],[Column1]]&gt;0,DailyData[[#This Row],[Column1]]-L322,0)</f>
        <v>0</v>
      </c>
      <c r="N335" s="1">
        <f>+IF(DailyData[[#This Row],[Column2]]=0,0,DailyData[[#This Row],[Date]])</f>
        <v>0</v>
      </c>
    </row>
    <row r="336" spans="3:14" x14ac:dyDescent="0.25">
      <c r="C336" s="1">
        <v>45873</v>
      </c>
      <c r="D336" s="2" t="s">
        <v>16</v>
      </c>
      <c r="E336">
        <v>20000</v>
      </c>
      <c r="F336">
        <v>0.25</v>
      </c>
      <c r="G336">
        <v>0.25</v>
      </c>
      <c r="H336">
        <v>0.24</v>
      </c>
      <c r="I336">
        <v>0.25</v>
      </c>
      <c r="J336">
        <v>193611</v>
      </c>
      <c r="K336">
        <v>5000</v>
      </c>
      <c r="L336">
        <f t="shared" si="5"/>
        <v>0</v>
      </c>
      <c r="M336">
        <f>+IF(DailyData[[#This Row],[Column1]]&gt;0,DailyData[[#This Row],[Column1]]-L323,0)</f>
        <v>0</v>
      </c>
      <c r="N336" s="1">
        <f>+IF(DailyData[[#This Row],[Column2]]=0,0,DailyData[[#This Row],[Date]])</f>
        <v>0</v>
      </c>
    </row>
    <row r="337" spans="3:14" x14ac:dyDescent="0.25">
      <c r="C337" s="1">
        <v>45873</v>
      </c>
      <c r="D337" s="2" t="s">
        <v>17</v>
      </c>
      <c r="E337">
        <v>700000</v>
      </c>
      <c r="F337">
        <v>2E-3</v>
      </c>
      <c r="G337">
        <v>2E-3</v>
      </c>
      <c r="H337">
        <v>2E-3</v>
      </c>
      <c r="I337">
        <v>2E-3</v>
      </c>
      <c r="J337">
        <v>235178</v>
      </c>
      <c r="K337">
        <v>1750</v>
      </c>
      <c r="L337">
        <f t="shared" ref="L337:L400" si="6">+IF(C338&lt;&gt;C337,SUM(K325:K337),0)</f>
        <v>0</v>
      </c>
      <c r="M337">
        <f>+IF(DailyData[[#This Row],[Column1]]&gt;0,DailyData[[#This Row],[Column1]]-L324,0)</f>
        <v>0</v>
      </c>
      <c r="N337" s="1">
        <f>+IF(DailyData[[#This Row],[Column2]]=0,0,DailyData[[#This Row],[Date]])</f>
        <v>0</v>
      </c>
    </row>
    <row r="338" spans="3:14" x14ac:dyDescent="0.25">
      <c r="C338" s="1">
        <v>45873</v>
      </c>
      <c r="D338" s="2" t="s">
        <v>18</v>
      </c>
      <c r="E338">
        <v>9412</v>
      </c>
      <c r="F338">
        <v>0.36499999999999999</v>
      </c>
      <c r="G338">
        <v>0.36499999999999999</v>
      </c>
      <c r="H338">
        <v>0.35</v>
      </c>
      <c r="I338">
        <v>0.35</v>
      </c>
      <c r="J338">
        <v>169215</v>
      </c>
      <c r="K338">
        <v>3294.2</v>
      </c>
      <c r="L338">
        <f t="shared" si="6"/>
        <v>0</v>
      </c>
      <c r="M338">
        <f>+IF(DailyData[[#This Row],[Column1]]&gt;0,DailyData[[#This Row],[Column1]]-L325,0)</f>
        <v>0</v>
      </c>
      <c r="N338" s="1">
        <f>+IF(DailyData[[#This Row],[Column2]]=0,0,DailyData[[#This Row],[Date]])</f>
        <v>0</v>
      </c>
    </row>
    <row r="339" spans="3:14" x14ac:dyDescent="0.25">
      <c r="C339" s="1">
        <v>45873</v>
      </c>
      <c r="D339" s="2" t="s">
        <v>19</v>
      </c>
      <c r="E339">
        <v>6000</v>
      </c>
      <c r="F339">
        <v>0.09</v>
      </c>
      <c r="G339">
        <v>0.1</v>
      </c>
      <c r="H339">
        <v>0.09</v>
      </c>
      <c r="I339">
        <v>0.1</v>
      </c>
      <c r="J339">
        <v>146051</v>
      </c>
      <c r="K339">
        <v>600</v>
      </c>
      <c r="L339">
        <f t="shared" si="6"/>
        <v>0</v>
      </c>
      <c r="M339">
        <f>+IF(DailyData[[#This Row],[Column1]]&gt;0,DailyData[[#This Row],[Column1]]-L326,0)</f>
        <v>0</v>
      </c>
      <c r="N339" s="1">
        <f>+IF(DailyData[[#This Row],[Column2]]=0,0,DailyData[[#This Row],[Date]])</f>
        <v>0</v>
      </c>
    </row>
    <row r="340" spans="3:14" x14ac:dyDescent="0.25">
      <c r="C340" s="1">
        <v>45873</v>
      </c>
      <c r="D340" s="2" t="s">
        <v>20</v>
      </c>
      <c r="E340">
        <v>0</v>
      </c>
      <c r="F340">
        <v>33.44</v>
      </c>
      <c r="G340">
        <v>33.44</v>
      </c>
      <c r="H340">
        <v>33.049999999999997</v>
      </c>
      <c r="I340">
        <v>33.200000000000003</v>
      </c>
      <c r="J340">
        <v>2408638</v>
      </c>
      <c r="K340">
        <v>0</v>
      </c>
      <c r="L340">
        <f t="shared" si="6"/>
        <v>0</v>
      </c>
      <c r="M340">
        <f>+IF(DailyData[[#This Row],[Column1]]&gt;0,DailyData[[#This Row],[Column1]]-L327,0)</f>
        <v>0</v>
      </c>
      <c r="N340" s="1">
        <f>+IF(DailyData[[#This Row],[Column2]]=0,0,DailyData[[#This Row],[Date]])</f>
        <v>0</v>
      </c>
    </row>
    <row r="341" spans="3:14" x14ac:dyDescent="0.25">
      <c r="C341" s="1">
        <v>45873</v>
      </c>
      <c r="D341" s="2" t="s">
        <v>21</v>
      </c>
      <c r="E341">
        <v>1288</v>
      </c>
      <c r="F341">
        <v>26</v>
      </c>
      <c r="G341">
        <v>26.23</v>
      </c>
      <c r="H341">
        <v>25.92</v>
      </c>
      <c r="I341">
        <v>26.19</v>
      </c>
      <c r="J341">
        <v>3374321</v>
      </c>
      <c r="K341">
        <v>33732.720000000001</v>
      </c>
      <c r="L341">
        <f t="shared" si="6"/>
        <v>947677.46999999986</v>
      </c>
      <c r="M341">
        <f>+IF(DailyData[[#This Row],[Column1]]&gt;0,DailyData[[#This Row],[Column1]]-L328,0)</f>
        <v>4226.3499999998603</v>
      </c>
      <c r="N341" s="1">
        <f>+IF(DailyData[[#This Row],[Column2]]=0,0,DailyData[[#This Row],[Date]])</f>
        <v>45873</v>
      </c>
    </row>
    <row r="342" spans="3:14" x14ac:dyDescent="0.25">
      <c r="C342" s="1">
        <v>45874</v>
      </c>
      <c r="D342" s="2" t="s">
        <v>9</v>
      </c>
      <c r="E342">
        <v>153181</v>
      </c>
      <c r="F342">
        <v>0.71499999999999997</v>
      </c>
      <c r="G342">
        <v>0.745</v>
      </c>
      <c r="H342">
        <v>0.71</v>
      </c>
      <c r="I342">
        <v>0.73499999999999999</v>
      </c>
      <c r="J342">
        <v>5199627</v>
      </c>
      <c r="K342">
        <v>112588.04</v>
      </c>
      <c r="L342">
        <f t="shared" si="6"/>
        <v>0</v>
      </c>
      <c r="M342">
        <f>+IF(DailyData[[#This Row],[Column1]]&gt;0,DailyData[[#This Row],[Column1]]-L329,0)</f>
        <v>0</v>
      </c>
      <c r="N342" s="1">
        <f>+IF(DailyData[[#This Row],[Column2]]=0,0,DailyData[[#This Row],[Date]])</f>
        <v>0</v>
      </c>
    </row>
    <row r="343" spans="3:14" x14ac:dyDescent="0.25">
      <c r="C343" s="1">
        <v>45874</v>
      </c>
      <c r="D343" s="2" t="s">
        <v>10</v>
      </c>
      <c r="E343">
        <v>70000</v>
      </c>
      <c r="F343">
        <v>1.62</v>
      </c>
      <c r="G343">
        <v>1.645</v>
      </c>
      <c r="H343">
        <v>1.617</v>
      </c>
      <c r="I343">
        <v>1.64</v>
      </c>
      <c r="J343">
        <v>7581648</v>
      </c>
      <c r="K343">
        <v>114800</v>
      </c>
      <c r="L343">
        <f t="shared" si="6"/>
        <v>0</v>
      </c>
      <c r="M343">
        <f>+IF(DailyData[[#This Row],[Column1]]&gt;0,DailyData[[#This Row],[Column1]]-L330,0)</f>
        <v>0</v>
      </c>
      <c r="N343" s="1">
        <f>+IF(DailyData[[#This Row],[Column2]]=0,0,DailyData[[#This Row],[Date]])</f>
        <v>0</v>
      </c>
    </row>
    <row r="344" spans="3:14" x14ac:dyDescent="0.25">
      <c r="C344" s="1">
        <v>45874</v>
      </c>
      <c r="D344" s="2" t="s">
        <v>11</v>
      </c>
      <c r="E344">
        <v>57458</v>
      </c>
      <c r="F344">
        <v>0.56499999999999995</v>
      </c>
      <c r="G344">
        <v>0.57999999999999996</v>
      </c>
      <c r="H344">
        <v>0.55500000000000005</v>
      </c>
      <c r="I344">
        <v>0.56000000000000005</v>
      </c>
      <c r="J344">
        <v>2356462</v>
      </c>
      <c r="K344">
        <v>32176.48</v>
      </c>
      <c r="L344">
        <f t="shared" si="6"/>
        <v>0</v>
      </c>
      <c r="M344">
        <f>+IF(DailyData[[#This Row],[Column1]]&gt;0,DailyData[[#This Row],[Column1]]-L331,0)</f>
        <v>0</v>
      </c>
      <c r="N344" s="1">
        <f>+IF(DailyData[[#This Row],[Column2]]=0,0,DailyData[[#This Row],[Date]])</f>
        <v>0</v>
      </c>
    </row>
    <row r="345" spans="3:14" x14ac:dyDescent="0.25">
      <c r="C345" s="1">
        <v>45874</v>
      </c>
      <c r="D345" s="2" t="s">
        <v>12</v>
      </c>
      <c r="E345">
        <v>16361</v>
      </c>
      <c r="F345">
        <v>39.81</v>
      </c>
      <c r="G345">
        <v>40.11</v>
      </c>
      <c r="H345">
        <v>39.74</v>
      </c>
      <c r="I345">
        <v>39.799999999999997</v>
      </c>
      <c r="J345">
        <v>4548811</v>
      </c>
      <c r="K345">
        <v>651167.79</v>
      </c>
      <c r="L345">
        <f t="shared" si="6"/>
        <v>0</v>
      </c>
      <c r="M345">
        <f>+IF(DailyData[[#This Row],[Column1]]&gt;0,DailyData[[#This Row],[Column1]]-L332,0)</f>
        <v>0</v>
      </c>
      <c r="N345" s="1">
        <f>+IF(DailyData[[#This Row],[Column2]]=0,0,DailyData[[#This Row],[Date]])</f>
        <v>0</v>
      </c>
    </row>
    <row r="346" spans="3:14" x14ac:dyDescent="0.25">
      <c r="C346" s="1">
        <v>45874</v>
      </c>
      <c r="D346" s="2" t="s">
        <v>13</v>
      </c>
      <c r="E346">
        <v>44090</v>
      </c>
      <c r="F346">
        <v>1.4999999999999999E-2</v>
      </c>
      <c r="G346">
        <v>1.4999999999999999E-2</v>
      </c>
      <c r="H346">
        <v>1.2999999999999999E-2</v>
      </c>
      <c r="I346">
        <v>1.4E-2</v>
      </c>
      <c r="J346">
        <v>684169</v>
      </c>
      <c r="K346">
        <v>617.26</v>
      </c>
      <c r="L346">
        <f t="shared" si="6"/>
        <v>0</v>
      </c>
      <c r="M346">
        <f>+IF(DailyData[[#This Row],[Column1]]&gt;0,DailyData[[#This Row],[Column1]]-L333,0)</f>
        <v>0</v>
      </c>
      <c r="N346" s="1">
        <f>+IF(DailyData[[#This Row],[Column2]]=0,0,DailyData[[#This Row],[Date]])</f>
        <v>0</v>
      </c>
    </row>
    <row r="347" spans="3:14" x14ac:dyDescent="0.25">
      <c r="C347" s="1">
        <v>45874</v>
      </c>
      <c r="D347" s="2" t="s">
        <v>14</v>
      </c>
      <c r="E347">
        <v>0</v>
      </c>
      <c r="F347">
        <v>175.68</v>
      </c>
      <c r="G347">
        <v>177.63499999999999</v>
      </c>
      <c r="H347">
        <v>175.06</v>
      </c>
      <c r="I347">
        <v>177.34</v>
      </c>
      <c r="J347">
        <v>1356835</v>
      </c>
      <c r="K347">
        <v>0</v>
      </c>
      <c r="L347">
        <f t="shared" si="6"/>
        <v>0</v>
      </c>
      <c r="M347">
        <f>+IF(DailyData[[#This Row],[Column1]]&gt;0,DailyData[[#This Row],[Column1]]-L334,0)</f>
        <v>0</v>
      </c>
      <c r="N347" s="1">
        <f>+IF(DailyData[[#This Row],[Column2]]=0,0,DailyData[[#This Row],[Date]])</f>
        <v>0</v>
      </c>
    </row>
    <row r="348" spans="3:14" x14ac:dyDescent="0.25">
      <c r="C348" s="1">
        <v>45874</v>
      </c>
      <c r="D348" s="2" t="s">
        <v>15</v>
      </c>
      <c r="E348">
        <v>10000</v>
      </c>
      <c r="F348">
        <v>0.36</v>
      </c>
      <c r="G348">
        <v>0.39500000000000002</v>
      </c>
      <c r="H348">
        <v>0.36</v>
      </c>
      <c r="I348">
        <v>0.38500000000000001</v>
      </c>
      <c r="J348">
        <v>212613</v>
      </c>
      <c r="K348">
        <v>3850</v>
      </c>
      <c r="L348">
        <f t="shared" si="6"/>
        <v>0</v>
      </c>
      <c r="M348">
        <f>+IF(DailyData[[#This Row],[Column1]]&gt;0,DailyData[[#This Row],[Column1]]-L335,0)</f>
        <v>0</v>
      </c>
      <c r="N348" s="1">
        <f>+IF(DailyData[[#This Row],[Column2]]=0,0,DailyData[[#This Row],[Date]])</f>
        <v>0</v>
      </c>
    </row>
    <row r="349" spans="3:14" x14ac:dyDescent="0.25">
      <c r="C349" s="1">
        <v>45874</v>
      </c>
      <c r="D349" s="2" t="s">
        <v>16</v>
      </c>
      <c r="E349">
        <v>20000</v>
      </c>
      <c r="F349">
        <v>0.252</v>
      </c>
      <c r="G349">
        <v>0.26500000000000001</v>
      </c>
      <c r="H349">
        <v>0.24</v>
      </c>
      <c r="I349">
        <v>0.255</v>
      </c>
      <c r="J349">
        <v>57144</v>
      </c>
      <c r="K349">
        <v>5100</v>
      </c>
      <c r="L349">
        <f t="shared" si="6"/>
        <v>0</v>
      </c>
      <c r="M349">
        <f>+IF(DailyData[[#This Row],[Column1]]&gt;0,DailyData[[#This Row],[Column1]]-L336,0)</f>
        <v>0</v>
      </c>
      <c r="N349" s="1">
        <f>+IF(DailyData[[#This Row],[Column2]]=0,0,DailyData[[#This Row],[Date]])</f>
        <v>0</v>
      </c>
    </row>
    <row r="350" spans="3:14" x14ac:dyDescent="0.25">
      <c r="C350" s="1">
        <v>45874</v>
      </c>
      <c r="D350" s="2" t="s">
        <v>17</v>
      </c>
      <c r="E350">
        <v>700000</v>
      </c>
      <c r="F350">
        <v>2E-3</v>
      </c>
      <c r="G350">
        <v>2E-3</v>
      </c>
      <c r="H350">
        <v>2E-3</v>
      </c>
      <c r="I350">
        <v>2E-3</v>
      </c>
      <c r="J350">
        <v>235000</v>
      </c>
      <c r="K350">
        <v>1400</v>
      </c>
      <c r="L350">
        <f t="shared" si="6"/>
        <v>0</v>
      </c>
      <c r="M350">
        <f>+IF(DailyData[[#This Row],[Column1]]&gt;0,DailyData[[#This Row],[Column1]]-L337,0)</f>
        <v>0</v>
      </c>
      <c r="N350" s="1">
        <f>+IF(DailyData[[#This Row],[Column2]]=0,0,DailyData[[#This Row],[Date]])</f>
        <v>0</v>
      </c>
    </row>
    <row r="351" spans="3:14" x14ac:dyDescent="0.25">
      <c r="C351" s="1">
        <v>45874</v>
      </c>
      <c r="D351" s="2" t="s">
        <v>18</v>
      </c>
      <c r="E351">
        <v>9412</v>
      </c>
      <c r="F351">
        <v>0.37</v>
      </c>
      <c r="G351">
        <v>0.37</v>
      </c>
      <c r="H351">
        <v>0.35</v>
      </c>
      <c r="I351">
        <v>0.36</v>
      </c>
      <c r="J351">
        <v>244301</v>
      </c>
      <c r="K351">
        <v>3388.32</v>
      </c>
      <c r="L351">
        <f t="shared" si="6"/>
        <v>0</v>
      </c>
      <c r="M351">
        <f>+IF(DailyData[[#This Row],[Column1]]&gt;0,DailyData[[#This Row],[Column1]]-L338,0)</f>
        <v>0</v>
      </c>
      <c r="N351" s="1">
        <f>+IF(DailyData[[#This Row],[Column2]]=0,0,DailyData[[#This Row],[Date]])</f>
        <v>0</v>
      </c>
    </row>
    <row r="352" spans="3:14" x14ac:dyDescent="0.25">
      <c r="C352" s="1">
        <v>45874</v>
      </c>
      <c r="D352" s="2" t="s">
        <v>19</v>
      </c>
      <c r="E352">
        <v>6000</v>
      </c>
      <c r="F352">
        <v>0.1</v>
      </c>
      <c r="G352">
        <v>0.1</v>
      </c>
      <c r="H352">
        <v>9.0999999999999998E-2</v>
      </c>
      <c r="I352">
        <v>9.5000000000000001E-2</v>
      </c>
      <c r="J352">
        <v>53733</v>
      </c>
      <c r="K352">
        <v>570</v>
      </c>
      <c r="L352">
        <f t="shared" si="6"/>
        <v>0</v>
      </c>
      <c r="M352">
        <f>+IF(DailyData[[#This Row],[Column1]]&gt;0,DailyData[[#This Row],[Column1]]-L339,0)</f>
        <v>0</v>
      </c>
      <c r="N352" s="1">
        <f>+IF(DailyData[[#This Row],[Column2]]=0,0,DailyData[[#This Row],[Date]])</f>
        <v>0</v>
      </c>
    </row>
    <row r="353" spans="3:14" x14ac:dyDescent="0.25">
      <c r="C353" s="1">
        <v>45874</v>
      </c>
      <c r="D353" s="2" t="s">
        <v>20</v>
      </c>
      <c r="E353">
        <v>0</v>
      </c>
      <c r="F353">
        <v>33.4</v>
      </c>
      <c r="G353">
        <v>33.659999999999997</v>
      </c>
      <c r="H353">
        <v>33.32</v>
      </c>
      <c r="I353">
        <v>33.659999999999997</v>
      </c>
      <c r="J353">
        <v>3076487</v>
      </c>
      <c r="K353">
        <v>0</v>
      </c>
      <c r="L353">
        <f t="shared" si="6"/>
        <v>0</v>
      </c>
      <c r="M353">
        <f>+IF(DailyData[[#This Row],[Column1]]&gt;0,DailyData[[#This Row],[Column1]]-L340,0)</f>
        <v>0</v>
      </c>
      <c r="N353" s="1">
        <f>+IF(DailyData[[#This Row],[Column2]]=0,0,DailyData[[#This Row],[Date]])</f>
        <v>0</v>
      </c>
    </row>
    <row r="354" spans="3:14" x14ac:dyDescent="0.25">
      <c r="C354" s="1">
        <v>45874</v>
      </c>
      <c r="D354" s="2" t="s">
        <v>21</v>
      </c>
      <c r="E354">
        <v>1288</v>
      </c>
      <c r="F354">
        <v>26.4</v>
      </c>
      <c r="G354">
        <v>26.57</v>
      </c>
      <c r="H354">
        <v>26.35</v>
      </c>
      <c r="I354">
        <v>26.56</v>
      </c>
      <c r="J354">
        <v>3016753</v>
      </c>
      <c r="K354">
        <v>34209.279999999999</v>
      </c>
      <c r="L354">
        <f t="shared" si="6"/>
        <v>959867.17</v>
      </c>
      <c r="M354">
        <f>+IF(DailyData[[#This Row],[Column1]]&gt;0,DailyData[[#This Row],[Column1]]-L341,0)</f>
        <v>12189.700000000186</v>
      </c>
      <c r="N354" s="1">
        <f>+IF(DailyData[[#This Row],[Column2]]=0,0,DailyData[[#This Row],[Date]])</f>
        <v>45874</v>
      </c>
    </row>
    <row r="355" spans="3:14" x14ac:dyDescent="0.25">
      <c r="C355" s="1">
        <v>45875</v>
      </c>
      <c r="D355" s="2" t="s">
        <v>9</v>
      </c>
      <c r="E355">
        <v>153181</v>
      </c>
      <c r="F355">
        <v>0.75</v>
      </c>
      <c r="G355">
        <v>0.78500000000000003</v>
      </c>
      <c r="H355">
        <v>0.73499999999999999</v>
      </c>
      <c r="I355">
        <v>0.77500000000000002</v>
      </c>
      <c r="J355">
        <v>7959794</v>
      </c>
      <c r="K355">
        <v>118715.27</v>
      </c>
      <c r="L355">
        <f t="shared" si="6"/>
        <v>0</v>
      </c>
      <c r="M355">
        <f>+IF(DailyData[[#This Row],[Column1]]&gt;0,DailyData[[#This Row],[Column1]]-L342,0)</f>
        <v>0</v>
      </c>
      <c r="N355" s="1">
        <f>+IF(DailyData[[#This Row],[Column2]]=0,0,DailyData[[#This Row],[Date]])</f>
        <v>0</v>
      </c>
    </row>
    <row r="356" spans="3:14" x14ac:dyDescent="0.25">
      <c r="C356" s="1">
        <v>45875</v>
      </c>
      <c r="D356" s="2" t="s">
        <v>10</v>
      </c>
      <c r="E356">
        <v>70000</v>
      </c>
      <c r="F356">
        <v>1.635</v>
      </c>
      <c r="G356">
        <v>1.675</v>
      </c>
      <c r="H356">
        <v>1.635</v>
      </c>
      <c r="I356">
        <v>1.67</v>
      </c>
      <c r="J356">
        <v>10354028</v>
      </c>
      <c r="K356">
        <v>116900</v>
      </c>
      <c r="L356">
        <f t="shared" si="6"/>
        <v>0</v>
      </c>
      <c r="M356">
        <f>+IF(DailyData[[#This Row],[Column1]]&gt;0,DailyData[[#This Row],[Column1]]-L343,0)</f>
        <v>0</v>
      </c>
      <c r="N356" s="1">
        <f>+IF(DailyData[[#This Row],[Column2]]=0,0,DailyData[[#This Row],[Date]])</f>
        <v>0</v>
      </c>
    </row>
    <row r="357" spans="3:14" x14ac:dyDescent="0.25">
      <c r="C357" s="1">
        <v>45875</v>
      </c>
      <c r="D357" s="2" t="s">
        <v>11</v>
      </c>
      <c r="E357">
        <v>57458</v>
      </c>
      <c r="F357">
        <v>0.56999999999999995</v>
      </c>
      <c r="G357">
        <v>0.57499999999999996</v>
      </c>
      <c r="H357">
        <v>0.55500000000000005</v>
      </c>
      <c r="I357">
        <v>0.56499999999999995</v>
      </c>
      <c r="J357">
        <v>616843</v>
      </c>
      <c r="K357">
        <v>32463.77</v>
      </c>
      <c r="L357">
        <f t="shared" si="6"/>
        <v>0</v>
      </c>
      <c r="M357">
        <f>+IF(DailyData[[#This Row],[Column1]]&gt;0,DailyData[[#This Row],[Column1]]-L344,0)</f>
        <v>0</v>
      </c>
      <c r="N357" s="1">
        <f>+IF(DailyData[[#This Row],[Column2]]=0,0,DailyData[[#This Row],[Date]])</f>
        <v>0</v>
      </c>
    </row>
    <row r="358" spans="3:14" x14ac:dyDescent="0.25">
      <c r="C358" s="1">
        <v>45875</v>
      </c>
      <c r="D358" s="2" t="s">
        <v>12</v>
      </c>
      <c r="E358">
        <v>16361</v>
      </c>
      <c r="F358">
        <v>39.79</v>
      </c>
      <c r="G358">
        <v>40.200000000000003</v>
      </c>
      <c r="H358">
        <v>39.695</v>
      </c>
      <c r="I358">
        <v>39.9</v>
      </c>
      <c r="J358">
        <v>6271454</v>
      </c>
      <c r="K358">
        <v>652803.92000000004</v>
      </c>
      <c r="L358">
        <f t="shared" si="6"/>
        <v>0</v>
      </c>
      <c r="M358">
        <f>+IF(DailyData[[#This Row],[Column1]]&gt;0,DailyData[[#This Row],[Column1]]-L345,0)</f>
        <v>0</v>
      </c>
      <c r="N358" s="1">
        <f>+IF(DailyData[[#This Row],[Column2]]=0,0,DailyData[[#This Row],[Date]])</f>
        <v>0</v>
      </c>
    </row>
    <row r="359" spans="3:14" x14ac:dyDescent="0.25">
      <c r="C359" s="1">
        <v>45875</v>
      </c>
      <c r="D359" s="2" t="s">
        <v>13</v>
      </c>
      <c r="E359">
        <v>44090</v>
      </c>
      <c r="F359">
        <v>1.4E-2</v>
      </c>
      <c r="G359">
        <v>1.4E-2</v>
      </c>
      <c r="H359">
        <v>1.2999999999999999E-2</v>
      </c>
      <c r="I359">
        <v>1.4E-2</v>
      </c>
      <c r="J359">
        <v>775537</v>
      </c>
      <c r="K359">
        <v>617.26</v>
      </c>
      <c r="L359">
        <f t="shared" si="6"/>
        <v>0</v>
      </c>
      <c r="M359">
        <f>+IF(DailyData[[#This Row],[Column1]]&gt;0,DailyData[[#This Row],[Column1]]-L346,0)</f>
        <v>0</v>
      </c>
      <c r="N359" s="1">
        <f>+IF(DailyData[[#This Row],[Column2]]=0,0,DailyData[[#This Row],[Date]])</f>
        <v>0</v>
      </c>
    </row>
    <row r="360" spans="3:14" x14ac:dyDescent="0.25">
      <c r="C360" s="1">
        <v>45875</v>
      </c>
      <c r="D360" s="2" t="s">
        <v>14</v>
      </c>
      <c r="E360">
        <v>0</v>
      </c>
      <c r="F360">
        <v>177.6</v>
      </c>
      <c r="G360">
        <v>179.86</v>
      </c>
      <c r="H360">
        <v>177.45</v>
      </c>
      <c r="I360">
        <v>179.08</v>
      </c>
      <c r="J360">
        <v>1244593</v>
      </c>
      <c r="K360">
        <v>0</v>
      </c>
      <c r="L360">
        <f t="shared" si="6"/>
        <v>0</v>
      </c>
      <c r="M360">
        <f>+IF(DailyData[[#This Row],[Column1]]&gt;0,DailyData[[#This Row],[Column1]]-L347,0)</f>
        <v>0</v>
      </c>
      <c r="N360" s="1">
        <f>+IF(DailyData[[#This Row],[Column2]]=0,0,DailyData[[#This Row],[Date]])</f>
        <v>0</v>
      </c>
    </row>
    <row r="361" spans="3:14" x14ac:dyDescent="0.25">
      <c r="C361" s="1">
        <v>45875</v>
      </c>
      <c r="D361" s="2" t="s">
        <v>15</v>
      </c>
      <c r="E361">
        <v>10000</v>
      </c>
      <c r="F361">
        <v>0.39</v>
      </c>
      <c r="G361">
        <v>0.39</v>
      </c>
      <c r="H361">
        <v>0.36499999999999999</v>
      </c>
      <c r="I361">
        <v>0.375</v>
      </c>
      <c r="J361">
        <v>493392</v>
      </c>
      <c r="K361">
        <v>3750</v>
      </c>
      <c r="L361">
        <f t="shared" si="6"/>
        <v>0</v>
      </c>
      <c r="M361">
        <f>+IF(DailyData[[#This Row],[Column1]]&gt;0,DailyData[[#This Row],[Column1]]-L348,0)</f>
        <v>0</v>
      </c>
      <c r="N361" s="1">
        <f>+IF(DailyData[[#This Row],[Column2]]=0,0,DailyData[[#This Row],[Date]])</f>
        <v>0</v>
      </c>
    </row>
    <row r="362" spans="3:14" x14ac:dyDescent="0.25">
      <c r="C362" s="1">
        <v>45875</v>
      </c>
      <c r="D362" s="2" t="s">
        <v>16</v>
      </c>
      <c r="E362">
        <v>20000</v>
      </c>
      <c r="F362">
        <v>0.27</v>
      </c>
      <c r="G362">
        <v>0.27500000000000002</v>
      </c>
      <c r="H362">
        <v>0.255</v>
      </c>
      <c r="I362">
        <v>0.27500000000000002</v>
      </c>
      <c r="J362">
        <v>124696</v>
      </c>
      <c r="K362">
        <v>5500</v>
      </c>
      <c r="L362">
        <f t="shared" si="6"/>
        <v>0</v>
      </c>
      <c r="M362">
        <f>+IF(DailyData[[#This Row],[Column1]]&gt;0,DailyData[[#This Row],[Column1]]-L349,0)</f>
        <v>0</v>
      </c>
      <c r="N362" s="1">
        <f>+IF(DailyData[[#This Row],[Column2]]=0,0,DailyData[[#This Row],[Date]])</f>
        <v>0</v>
      </c>
    </row>
    <row r="363" spans="3:14" x14ac:dyDescent="0.25">
      <c r="C363" s="1">
        <v>45875</v>
      </c>
      <c r="D363" s="2" t="s">
        <v>17</v>
      </c>
      <c r="E363">
        <v>700000</v>
      </c>
      <c r="F363">
        <v>2E-3</v>
      </c>
      <c r="G363">
        <v>2E-3</v>
      </c>
      <c r="H363">
        <v>2E-3</v>
      </c>
      <c r="I363">
        <v>2E-3</v>
      </c>
      <c r="J363">
        <v>703738</v>
      </c>
      <c r="K363">
        <v>1750</v>
      </c>
      <c r="L363">
        <f t="shared" si="6"/>
        <v>0</v>
      </c>
      <c r="M363">
        <f>+IF(DailyData[[#This Row],[Column1]]&gt;0,DailyData[[#This Row],[Column1]]-L350,0)</f>
        <v>0</v>
      </c>
      <c r="N363" s="1">
        <f>+IF(DailyData[[#This Row],[Column2]]=0,0,DailyData[[#This Row],[Date]])</f>
        <v>0</v>
      </c>
    </row>
    <row r="364" spans="3:14" x14ac:dyDescent="0.25">
      <c r="C364" s="1">
        <v>45875</v>
      </c>
      <c r="D364" s="2" t="s">
        <v>18</v>
      </c>
      <c r="E364">
        <v>9412</v>
      </c>
      <c r="F364">
        <v>0.36</v>
      </c>
      <c r="G364">
        <v>0.36</v>
      </c>
      <c r="H364">
        <v>0.33</v>
      </c>
      <c r="I364">
        <v>0.34499999999999997</v>
      </c>
      <c r="J364">
        <v>343563</v>
      </c>
      <c r="K364">
        <v>3247.14</v>
      </c>
      <c r="L364">
        <f t="shared" si="6"/>
        <v>0</v>
      </c>
      <c r="M364">
        <f>+IF(DailyData[[#This Row],[Column1]]&gt;0,DailyData[[#This Row],[Column1]]-L351,0)</f>
        <v>0</v>
      </c>
      <c r="N364" s="1">
        <f>+IF(DailyData[[#This Row],[Column2]]=0,0,DailyData[[#This Row],[Date]])</f>
        <v>0</v>
      </c>
    </row>
    <row r="365" spans="3:14" x14ac:dyDescent="0.25">
      <c r="C365" s="1">
        <v>45875</v>
      </c>
      <c r="D365" s="2" t="s">
        <v>19</v>
      </c>
      <c r="E365">
        <v>6000</v>
      </c>
      <c r="F365">
        <v>9.6000000000000002E-2</v>
      </c>
      <c r="G365">
        <v>9.7000000000000003E-2</v>
      </c>
      <c r="H365">
        <v>9.1999999999999998E-2</v>
      </c>
      <c r="I365">
        <v>9.1999999999999998E-2</v>
      </c>
      <c r="J365">
        <v>81155</v>
      </c>
      <c r="K365">
        <v>552</v>
      </c>
      <c r="L365">
        <f t="shared" si="6"/>
        <v>0</v>
      </c>
      <c r="M365">
        <f>+IF(DailyData[[#This Row],[Column1]]&gt;0,DailyData[[#This Row],[Column1]]-L352,0)</f>
        <v>0</v>
      </c>
      <c r="N365" s="1">
        <f>+IF(DailyData[[#This Row],[Column2]]=0,0,DailyData[[#This Row],[Date]])</f>
        <v>0</v>
      </c>
    </row>
    <row r="366" spans="3:14" x14ac:dyDescent="0.25">
      <c r="C366" s="1">
        <v>45875</v>
      </c>
      <c r="D366" s="2" t="s">
        <v>20</v>
      </c>
      <c r="E366">
        <v>0</v>
      </c>
      <c r="F366">
        <v>33.75</v>
      </c>
      <c r="G366">
        <v>34</v>
      </c>
      <c r="H366">
        <v>33.700000000000003</v>
      </c>
      <c r="I366">
        <v>33.909999999999997</v>
      </c>
      <c r="J366">
        <v>3296744</v>
      </c>
      <c r="K366">
        <v>0</v>
      </c>
      <c r="L366">
        <f t="shared" si="6"/>
        <v>0</v>
      </c>
      <c r="M366">
        <f>+IF(DailyData[[#This Row],[Column1]]&gt;0,DailyData[[#This Row],[Column1]]-L353,0)</f>
        <v>0</v>
      </c>
      <c r="N366" s="1">
        <f>+IF(DailyData[[#This Row],[Column2]]=0,0,DailyData[[#This Row],[Date]])</f>
        <v>0</v>
      </c>
    </row>
    <row r="367" spans="3:14" x14ac:dyDescent="0.25">
      <c r="C367" s="1">
        <v>45875</v>
      </c>
      <c r="D367" s="2" t="s">
        <v>21</v>
      </c>
      <c r="E367">
        <v>1288</v>
      </c>
      <c r="F367">
        <v>26.75</v>
      </c>
      <c r="G367">
        <v>27.02</v>
      </c>
      <c r="H367">
        <v>26.6</v>
      </c>
      <c r="I367">
        <v>26.9</v>
      </c>
      <c r="J367">
        <v>3721378</v>
      </c>
      <c r="K367">
        <v>34647.199999999997</v>
      </c>
      <c r="L367">
        <f t="shared" si="6"/>
        <v>970946.56000000006</v>
      </c>
      <c r="M367">
        <f>+IF(DailyData[[#This Row],[Column1]]&gt;0,DailyData[[#This Row],[Column1]]-L354,0)</f>
        <v>11079.390000000014</v>
      </c>
      <c r="N367" s="1">
        <f>+IF(DailyData[[#This Row],[Column2]]=0,0,DailyData[[#This Row],[Date]])</f>
        <v>45875</v>
      </c>
    </row>
    <row r="368" spans="3:14" x14ac:dyDescent="0.25">
      <c r="C368" s="1">
        <v>45876</v>
      </c>
      <c r="D368" s="2" t="s">
        <v>9</v>
      </c>
      <c r="E368">
        <v>153181</v>
      </c>
      <c r="F368">
        <v>0.78</v>
      </c>
      <c r="G368">
        <v>0.83499999999999996</v>
      </c>
      <c r="H368">
        <v>0.77</v>
      </c>
      <c r="I368">
        <v>0.83</v>
      </c>
      <c r="J368">
        <v>5355322</v>
      </c>
      <c r="K368">
        <v>127140.23</v>
      </c>
      <c r="L368">
        <f t="shared" si="6"/>
        <v>0</v>
      </c>
      <c r="M368">
        <f>+IF(DailyData[[#This Row],[Column1]]&gt;0,DailyData[[#This Row],[Column1]]-L355,0)</f>
        <v>0</v>
      </c>
      <c r="N368" s="1">
        <f>+IF(DailyData[[#This Row],[Column2]]=0,0,DailyData[[#This Row],[Date]])</f>
        <v>0</v>
      </c>
    </row>
    <row r="369" spans="3:14" x14ac:dyDescent="0.25">
      <c r="C369" s="1">
        <v>45876</v>
      </c>
      <c r="D369" s="2" t="s">
        <v>10</v>
      </c>
      <c r="E369">
        <v>70000</v>
      </c>
      <c r="F369">
        <v>1.6</v>
      </c>
      <c r="G369">
        <v>1.78</v>
      </c>
      <c r="H369">
        <v>1.6</v>
      </c>
      <c r="I369">
        <v>1.75</v>
      </c>
      <c r="J369">
        <v>23639039</v>
      </c>
      <c r="K369">
        <v>122500</v>
      </c>
      <c r="L369">
        <f t="shared" si="6"/>
        <v>0</v>
      </c>
      <c r="M369">
        <f>+IF(DailyData[[#This Row],[Column1]]&gt;0,DailyData[[#This Row],[Column1]]-L356,0)</f>
        <v>0</v>
      </c>
      <c r="N369" s="1">
        <f>+IF(DailyData[[#This Row],[Column2]]=0,0,DailyData[[#This Row],[Date]])</f>
        <v>0</v>
      </c>
    </row>
    <row r="370" spans="3:14" x14ac:dyDescent="0.25">
      <c r="C370" s="1">
        <v>45876</v>
      </c>
      <c r="D370" s="2" t="s">
        <v>11</v>
      </c>
      <c r="E370">
        <v>57458</v>
      </c>
      <c r="F370">
        <v>0.56999999999999995</v>
      </c>
      <c r="G370">
        <v>0.59499999999999997</v>
      </c>
      <c r="H370">
        <v>0.56499999999999995</v>
      </c>
      <c r="I370">
        <v>0.56999999999999995</v>
      </c>
      <c r="J370">
        <v>784132</v>
      </c>
      <c r="K370">
        <v>32751.06</v>
      </c>
      <c r="L370">
        <f t="shared" si="6"/>
        <v>0</v>
      </c>
      <c r="M370">
        <f>+IF(DailyData[[#This Row],[Column1]]&gt;0,DailyData[[#This Row],[Column1]]-L357,0)</f>
        <v>0</v>
      </c>
      <c r="N370" s="1">
        <f>+IF(DailyData[[#This Row],[Column2]]=0,0,DailyData[[#This Row],[Date]])</f>
        <v>0</v>
      </c>
    </row>
    <row r="371" spans="3:14" x14ac:dyDescent="0.25">
      <c r="C371" s="1">
        <v>45876</v>
      </c>
      <c r="D371" s="2" t="s">
        <v>12</v>
      </c>
      <c r="E371">
        <v>16361</v>
      </c>
      <c r="F371">
        <v>39.979999999999997</v>
      </c>
      <c r="G371">
        <v>40.03</v>
      </c>
      <c r="H371">
        <v>39.68</v>
      </c>
      <c r="I371">
        <v>39.869999999999997</v>
      </c>
      <c r="J371">
        <v>5398124</v>
      </c>
      <c r="K371">
        <v>652313.05000000005</v>
      </c>
      <c r="L371">
        <f t="shared" si="6"/>
        <v>0</v>
      </c>
      <c r="M371">
        <f>+IF(DailyData[[#This Row],[Column1]]&gt;0,DailyData[[#This Row],[Column1]]-L358,0)</f>
        <v>0</v>
      </c>
      <c r="N371" s="1">
        <f>+IF(DailyData[[#This Row],[Column2]]=0,0,DailyData[[#This Row],[Date]])</f>
        <v>0</v>
      </c>
    </row>
    <row r="372" spans="3:14" x14ac:dyDescent="0.25">
      <c r="C372" s="1">
        <v>45876</v>
      </c>
      <c r="D372" s="2" t="s">
        <v>13</v>
      </c>
      <c r="E372">
        <v>44090</v>
      </c>
      <c r="F372">
        <v>1.4E-2</v>
      </c>
      <c r="G372">
        <v>1.4E-2</v>
      </c>
      <c r="H372">
        <v>1.2999999999999999E-2</v>
      </c>
      <c r="I372">
        <v>1.4E-2</v>
      </c>
      <c r="J372">
        <v>461604</v>
      </c>
      <c r="K372">
        <v>617.26</v>
      </c>
      <c r="L372">
        <f t="shared" si="6"/>
        <v>0</v>
      </c>
      <c r="M372">
        <f>+IF(DailyData[[#This Row],[Column1]]&gt;0,DailyData[[#This Row],[Column1]]-L359,0)</f>
        <v>0</v>
      </c>
      <c r="N372" s="1">
        <f>+IF(DailyData[[#This Row],[Column2]]=0,0,DailyData[[#This Row],[Date]])</f>
        <v>0</v>
      </c>
    </row>
    <row r="373" spans="3:14" x14ac:dyDescent="0.25">
      <c r="C373" s="1">
        <v>45876</v>
      </c>
      <c r="D373" s="2" t="s">
        <v>14</v>
      </c>
      <c r="E373">
        <v>0</v>
      </c>
      <c r="F373">
        <v>179.3</v>
      </c>
      <c r="G373">
        <v>179.54</v>
      </c>
      <c r="H373">
        <v>177.63</v>
      </c>
      <c r="I373">
        <v>178.13</v>
      </c>
      <c r="J373">
        <v>1188987</v>
      </c>
      <c r="K373">
        <v>0</v>
      </c>
      <c r="L373">
        <f t="shared" si="6"/>
        <v>0</v>
      </c>
      <c r="M373">
        <f>+IF(DailyData[[#This Row],[Column1]]&gt;0,DailyData[[#This Row],[Column1]]-L360,0)</f>
        <v>0</v>
      </c>
      <c r="N373" s="1">
        <f>+IF(DailyData[[#This Row],[Column2]]=0,0,DailyData[[#This Row],[Date]])</f>
        <v>0</v>
      </c>
    </row>
    <row r="374" spans="3:14" x14ac:dyDescent="0.25">
      <c r="C374" s="1">
        <v>45876</v>
      </c>
      <c r="D374" s="2" t="s">
        <v>15</v>
      </c>
      <c r="E374">
        <v>10000</v>
      </c>
      <c r="F374">
        <v>0.375</v>
      </c>
      <c r="G374">
        <v>0.375</v>
      </c>
      <c r="H374">
        <v>0.35</v>
      </c>
      <c r="I374">
        <v>0.36</v>
      </c>
      <c r="J374">
        <v>490943</v>
      </c>
      <c r="K374">
        <v>3600</v>
      </c>
      <c r="L374">
        <f t="shared" si="6"/>
        <v>0</v>
      </c>
      <c r="M374">
        <f>+IF(DailyData[[#This Row],[Column1]]&gt;0,DailyData[[#This Row],[Column1]]-L361,0)</f>
        <v>0</v>
      </c>
      <c r="N374" s="1">
        <f>+IF(DailyData[[#This Row],[Column2]]=0,0,DailyData[[#This Row],[Date]])</f>
        <v>0</v>
      </c>
    </row>
    <row r="375" spans="3:14" x14ac:dyDescent="0.25">
      <c r="C375" s="1">
        <v>45876</v>
      </c>
      <c r="D375" s="2" t="s">
        <v>16</v>
      </c>
      <c r="E375">
        <v>20000</v>
      </c>
      <c r="F375">
        <v>0.26500000000000001</v>
      </c>
      <c r="G375">
        <v>0.3</v>
      </c>
      <c r="H375">
        <v>0.26500000000000001</v>
      </c>
      <c r="I375">
        <v>0.29499999999999998</v>
      </c>
      <c r="J375">
        <v>360145</v>
      </c>
      <c r="K375">
        <v>5900</v>
      </c>
      <c r="L375">
        <f t="shared" si="6"/>
        <v>0</v>
      </c>
      <c r="M375">
        <f>+IF(DailyData[[#This Row],[Column1]]&gt;0,DailyData[[#This Row],[Column1]]-L362,0)</f>
        <v>0</v>
      </c>
      <c r="N375" s="1">
        <f>+IF(DailyData[[#This Row],[Column2]]=0,0,DailyData[[#This Row],[Date]])</f>
        <v>0</v>
      </c>
    </row>
    <row r="376" spans="3:14" x14ac:dyDescent="0.25">
      <c r="C376" s="1">
        <v>45876</v>
      </c>
      <c r="D376" s="2" t="s">
        <v>17</v>
      </c>
      <c r="E376">
        <v>700000</v>
      </c>
      <c r="F376">
        <v>2E-3</v>
      </c>
      <c r="G376">
        <v>2E-3</v>
      </c>
      <c r="H376">
        <v>2E-3</v>
      </c>
      <c r="I376">
        <v>2E-3</v>
      </c>
      <c r="J376">
        <v>128438</v>
      </c>
      <c r="K376">
        <v>1750</v>
      </c>
      <c r="L376">
        <f t="shared" si="6"/>
        <v>0</v>
      </c>
      <c r="M376">
        <f>+IF(DailyData[[#This Row],[Column1]]&gt;0,DailyData[[#This Row],[Column1]]-L363,0)</f>
        <v>0</v>
      </c>
      <c r="N376" s="1">
        <f>+IF(DailyData[[#This Row],[Column2]]=0,0,DailyData[[#This Row],[Date]])</f>
        <v>0</v>
      </c>
    </row>
    <row r="377" spans="3:14" x14ac:dyDescent="0.25">
      <c r="C377" s="1">
        <v>45876</v>
      </c>
      <c r="D377" s="2" t="s">
        <v>18</v>
      </c>
      <c r="E377">
        <v>9412</v>
      </c>
      <c r="F377">
        <v>0.34499999999999997</v>
      </c>
      <c r="G377">
        <v>0.34499999999999997</v>
      </c>
      <c r="H377">
        <v>0.33</v>
      </c>
      <c r="I377">
        <v>0.34</v>
      </c>
      <c r="J377">
        <v>67820</v>
      </c>
      <c r="K377">
        <v>3200.08</v>
      </c>
      <c r="L377">
        <f t="shared" si="6"/>
        <v>0</v>
      </c>
      <c r="M377">
        <f>+IF(DailyData[[#This Row],[Column1]]&gt;0,DailyData[[#This Row],[Column1]]-L364,0)</f>
        <v>0</v>
      </c>
      <c r="N377" s="1">
        <f>+IF(DailyData[[#This Row],[Column2]]=0,0,DailyData[[#This Row],[Date]])</f>
        <v>0</v>
      </c>
    </row>
    <row r="378" spans="3:14" x14ac:dyDescent="0.25">
      <c r="C378" s="1">
        <v>45876</v>
      </c>
      <c r="D378" s="2" t="s">
        <v>19</v>
      </c>
      <c r="E378">
        <v>6000</v>
      </c>
      <c r="F378">
        <v>9.2999999999999999E-2</v>
      </c>
      <c r="G378">
        <v>9.2999999999999999E-2</v>
      </c>
      <c r="H378">
        <v>9.2999999999999999E-2</v>
      </c>
      <c r="I378">
        <v>9.2999999999999999E-2</v>
      </c>
      <c r="J378">
        <v>11538</v>
      </c>
      <c r="K378">
        <v>558</v>
      </c>
      <c r="L378">
        <f t="shared" si="6"/>
        <v>0</v>
      </c>
      <c r="M378">
        <f>+IF(DailyData[[#This Row],[Column1]]&gt;0,DailyData[[#This Row],[Column1]]-L365,0)</f>
        <v>0</v>
      </c>
      <c r="N378" s="1">
        <f>+IF(DailyData[[#This Row],[Column2]]=0,0,DailyData[[#This Row],[Date]])</f>
        <v>0</v>
      </c>
    </row>
    <row r="379" spans="3:14" x14ac:dyDescent="0.25">
      <c r="C379" s="1">
        <v>45876</v>
      </c>
      <c r="D379" s="2" t="s">
        <v>20</v>
      </c>
      <c r="E379">
        <v>0</v>
      </c>
      <c r="F379">
        <v>33.9</v>
      </c>
      <c r="G379">
        <v>34</v>
      </c>
      <c r="H379">
        <v>33.65</v>
      </c>
      <c r="I379">
        <v>33.99</v>
      </c>
      <c r="J379">
        <v>2953742</v>
      </c>
      <c r="K379">
        <v>0</v>
      </c>
      <c r="L379">
        <f t="shared" si="6"/>
        <v>0</v>
      </c>
      <c r="M379">
        <f>+IF(DailyData[[#This Row],[Column1]]&gt;0,DailyData[[#This Row],[Column1]]-L366,0)</f>
        <v>0</v>
      </c>
      <c r="N379" s="1">
        <f>+IF(DailyData[[#This Row],[Column2]]=0,0,DailyData[[#This Row],[Date]])</f>
        <v>0</v>
      </c>
    </row>
    <row r="380" spans="3:14" x14ac:dyDescent="0.25">
      <c r="C380" s="1">
        <v>45876</v>
      </c>
      <c r="D380" s="2" t="s">
        <v>21</v>
      </c>
      <c r="E380">
        <v>1288</v>
      </c>
      <c r="F380">
        <v>26.9</v>
      </c>
      <c r="G380">
        <v>27</v>
      </c>
      <c r="H380">
        <v>26.73</v>
      </c>
      <c r="I380">
        <v>27</v>
      </c>
      <c r="J380">
        <v>2817418</v>
      </c>
      <c r="K380">
        <v>34776</v>
      </c>
      <c r="L380">
        <f t="shared" si="6"/>
        <v>985105.68</v>
      </c>
      <c r="M380">
        <f>+IF(DailyData[[#This Row],[Column1]]&gt;0,DailyData[[#This Row],[Column1]]-L367,0)</f>
        <v>14159.119999999995</v>
      </c>
      <c r="N380" s="1">
        <f>+IF(DailyData[[#This Row],[Column2]]=0,0,DailyData[[#This Row],[Date]])</f>
        <v>45876</v>
      </c>
    </row>
    <row r="381" spans="3:14" x14ac:dyDescent="0.25">
      <c r="C381" s="1">
        <v>45877</v>
      </c>
      <c r="D381" s="2" t="s">
        <v>9</v>
      </c>
      <c r="E381">
        <v>153181</v>
      </c>
      <c r="F381">
        <v>0.84</v>
      </c>
      <c r="G381">
        <v>0.85799999999999998</v>
      </c>
      <c r="H381">
        <v>0.82</v>
      </c>
      <c r="I381">
        <v>0.84499999999999997</v>
      </c>
      <c r="J381">
        <v>5485625</v>
      </c>
      <c r="K381">
        <v>129437.95</v>
      </c>
      <c r="L381">
        <f t="shared" si="6"/>
        <v>0</v>
      </c>
      <c r="M381">
        <f>+IF(DailyData[[#This Row],[Column1]]&gt;0,DailyData[[#This Row],[Column1]]-L368,0)</f>
        <v>0</v>
      </c>
      <c r="N381" s="1">
        <f>+IF(DailyData[[#This Row],[Column2]]=0,0,DailyData[[#This Row],[Date]])</f>
        <v>0</v>
      </c>
    </row>
    <row r="382" spans="3:14" x14ac:dyDescent="0.25">
      <c r="C382" s="1">
        <v>45877</v>
      </c>
      <c r="D382" s="2" t="s">
        <v>10</v>
      </c>
      <c r="E382">
        <v>70000</v>
      </c>
      <c r="F382">
        <v>1.79</v>
      </c>
      <c r="G382">
        <v>1.885</v>
      </c>
      <c r="H382">
        <v>1.7749999999999999</v>
      </c>
      <c r="I382">
        <v>1.875</v>
      </c>
      <c r="J382">
        <v>31298745</v>
      </c>
      <c r="K382">
        <v>131250</v>
      </c>
      <c r="L382">
        <f t="shared" si="6"/>
        <v>0</v>
      </c>
      <c r="M382">
        <f>+IF(DailyData[[#This Row],[Column1]]&gt;0,DailyData[[#This Row],[Column1]]-L369,0)</f>
        <v>0</v>
      </c>
      <c r="N382" s="1">
        <f>+IF(DailyData[[#This Row],[Column2]]=0,0,DailyData[[#This Row],[Date]])</f>
        <v>0</v>
      </c>
    </row>
    <row r="383" spans="3:14" x14ac:dyDescent="0.25">
      <c r="C383" s="1">
        <v>45877</v>
      </c>
      <c r="D383" s="2" t="s">
        <v>11</v>
      </c>
      <c r="E383">
        <v>57458</v>
      </c>
      <c r="F383">
        <v>0.57999999999999996</v>
      </c>
      <c r="G383">
        <v>0.58499999999999996</v>
      </c>
      <c r="H383">
        <v>0.56999999999999995</v>
      </c>
      <c r="I383">
        <v>0.58499999999999996</v>
      </c>
      <c r="J383">
        <v>486955</v>
      </c>
      <c r="K383">
        <v>33612.93</v>
      </c>
      <c r="L383">
        <f t="shared" si="6"/>
        <v>0</v>
      </c>
      <c r="M383">
        <f>+IF(DailyData[[#This Row],[Column1]]&gt;0,DailyData[[#This Row],[Column1]]-L370,0)</f>
        <v>0</v>
      </c>
      <c r="N383" s="1">
        <f>+IF(DailyData[[#This Row],[Column2]]=0,0,DailyData[[#This Row],[Date]])</f>
        <v>0</v>
      </c>
    </row>
    <row r="384" spans="3:14" x14ac:dyDescent="0.25">
      <c r="C384" s="1">
        <v>45877</v>
      </c>
      <c r="D384" s="2" t="s">
        <v>12</v>
      </c>
      <c r="E384">
        <v>16361</v>
      </c>
      <c r="F384">
        <v>40.07</v>
      </c>
      <c r="G384">
        <v>40.380000000000003</v>
      </c>
      <c r="H384">
        <v>39.9</v>
      </c>
      <c r="I384">
        <v>40.21</v>
      </c>
      <c r="J384">
        <v>6130664</v>
      </c>
      <c r="K384">
        <v>657875.80000000005</v>
      </c>
      <c r="L384">
        <f t="shared" si="6"/>
        <v>0</v>
      </c>
      <c r="M384">
        <f>+IF(DailyData[[#This Row],[Column1]]&gt;0,DailyData[[#This Row],[Column1]]-L371,0)</f>
        <v>0</v>
      </c>
      <c r="N384" s="1">
        <f>+IF(DailyData[[#This Row],[Column2]]=0,0,DailyData[[#This Row],[Date]])</f>
        <v>0</v>
      </c>
    </row>
    <row r="385" spans="3:14" x14ac:dyDescent="0.25">
      <c r="C385" s="1">
        <v>45877</v>
      </c>
      <c r="D385" s="2" t="s">
        <v>13</v>
      </c>
      <c r="E385">
        <v>44090</v>
      </c>
      <c r="F385">
        <v>1.4E-2</v>
      </c>
      <c r="G385">
        <v>1.4E-2</v>
      </c>
      <c r="H385">
        <v>1.2999999999999999E-2</v>
      </c>
      <c r="I385">
        <v>1.2999999999999999E-2</v>
      </c>
      <c r="J385">
        <v>215631</v>
      </c>
      <c r="K385">
        <v>573.16999999999996</v>
      </c>
      <c r="L385">
        <f t="shared" si="6"/>
        <v>0</v>
      </c>
      <c r="M385">
        <f>+IF(DailyData[[#This Row],[Column1]]&gt;0,DailyData[[#This Row],[Column1]]-L372,0)</f>
        <v>0</v>
      </c>
      <c r="N385" s="1">
        <f>+IF(DailyData[[#This Row],[Column2]]=0,0,DailyData[[#This Row],[Date]])</f>
        <v>0</v>
      </c>
    </row>
    <row r="386" spans="3:14" x14ac:dyDescent="0.25">
      <c r="C386" s="1">
        <v>45877</v>
      </c>
      <c r="D386" s="2" t="s">
        <v>14</v>
      </c>
      <c r="E386">
        <v>0</v>
      </c>
      <c r="F386">
        <v>176.93</v>
      </c>
      <c r="G386">
        <v>177.98</v>
      </c>
      <c r="H386">
        <v>176.2</v>
      </c>
      <c r="I386">
        <v>176.61</v>
      </c>
      <c r="J386">
        <v>1239266</v>
      </c>
      <c r="K386">
        <v>0</v>
      </c>
      <c r="L386">
        <f t="shared" si="6"/>
        <v>0</v>
      </c>
      <c r="M386">
        <f>+IF(DailyData[[#This Row],[Column1]]&gt;0,DailyData[[#This Row],[Column1]]-L373,0)</f>
        <v>0</v>
      </c>
      <c r="N386" s="1">
        <f>+IF(DailyData[[#This Row],[Column2]]=0,0,DailyData[[#This Row],[Date]])</f>
        <v>0</v>
      </c>
    </row>
    <row r="387" spans="3:14" x14ac:dyDescent="0.25">
      <c r="C387" s="1">
        <v>45877</v>
      </c>
      <c r="D387" s="2" t="s">
        <v>15</v>
      </c>
      <c r="E387">
        <v>10000</v>
      </c>
      <c r="F387">
        <v>0.36</v>
      </c>
      <c r="G387">
        <v>0.36</v>
      </c>
      <c r="H387">
        <v>0.34</v>
      </c>
      <c r="I387">
        <v>0.35499999999999998</v>
      </c>
      <c r="J387">
        <v>516708</v>
      </c>
      <c r="K387">
        <v>3550</v>
      </c>
      <c r="L387">
        <f t="shared" si="6"/>
        <v>0</v>
      </c>
      <c r="M387">
        <f>+IF(DailyData[[#This Row],[Column1]]&gt;0,DailyData[[#This Row],[Column1]]-L374,0)</f>
        <v>0</v>
      </c>
      <c r="N387" s="1">
        <f>+IF(DailyData[[#This Row],[Column2]]=0,0,DailyData[[#This Row],[Date]])</f>
        <v>0</v>
      </c>
    </row>
    <row r="388" spans="3:14" x14ac:dyDescent="0.25">
      <c r="C388" s="1">
        <v>45877</v>
      </c>
      <c r="D388" s="2" t="s">
        <v>16</v>
      </c>
      <c r="E388">
        <v>20000</v>
      </c>
      <c r="F388">
        <v>0.28999999999999998</v>
      </c>
      <c r="G388">
        <v>0.30499999999999999</v>
      </c>
      <c r="H388">
        <v>0.27800000000000002</v>
      </c>
      <c r="I388">
        <v>0.30499999999999999</v>
      </c>
      <c r="J388">
        <v>513828</v>
      </c>
      <c r="K388">
        <v>6100</v>
      </c>
      <c r="L388">
        <f t="shared" si="6"/>
        <v>0</v>
      </c>
      <c r="M388">
        <f>+IF(DailyData[[#This Row],[Column1]]&gt;0,DailyData[[#This Row],[Column1]]-L375,0)</f>
        <v>0</v>
      </c>
      <c r="N388" s="1">
        <f>+IF(DailyData[[#This Row],[Column2]]=0,0,DailyData[[#This Row],[Date]])</f>
        <v>0</v>
      </c>
    </row>
    <row r="389" spans="3:14" x14ac:dyDescent="0.25">
      <c r="C389" s="1">
        <v>45877</v>
      </c>
      <c r="D389" s="2" t="s">
        <v>17</v>
      </c>
      <c r="E389">
        <v>700000</v>
      </c>
      <c r="F389">
        <v>2E-3</v>
      </c>
      <c r="G389">
        <v>2E-3</v>
      </c>
      <c r="H389">
        <v>2E-3</v>
      </c>
      <c r="I389">
        <v>2E-3</v>
      </c>
      <c r="J389">
        <v>417063</v>
      </c>
      <c r="K389">
        <v>1400</v>
      </c>
      <c r="L389">
        <f t="shared" si="6"/>
        <v>0</v>
      </c>
      <c r="M389">
        <f>+IF(DailyData[[#This Row],[Column1]]&gt;0,DailyData[[#This Row],[Column1]]-L376,0)</f>
        <v>0</v>
      </c>
      <c r="N389" s="1">
        <f>+IF(DailyData[[#This Row],[Column2]]=0,0,DailyData[[#This Row],[Date]])</f>
        <v>0</v>
      </c>
    </row>
    <row r="390" spans="3:14" x14ac:dyDescent="0.25">
      <c r="C390" s="1">
        <v>45877</v>
      </c>
      <c r="D390" s="2" t="s">
        <v>18</v>
      </c>
      <c r="E390">
        <v>9412</v>
      </c>
      <c r="F390">
        <v>0.35</v>
      </c>
      <c r="G390">
        <v>0.35499999999999998</v>
      </c>
      <c r="H390">
        <v>0.34</v>
      </c>
      <c r="I390">
        <v>0.35499999999999998</v>
      </c>
      <c r="J390">
        <v>65454</v>
      </c>
      <c r="K390">
        <v>3341.26</v>
      </c>
      <c r="L390">
        <f t="shared" si="6"/>
        <v>0</v>
      </c>
      <c r="M390">
        <f>+IF(DailyData[[#This Row],[Column1]]&gt;0,DailyData[[#This Row],[Column1]]-L377,0)</f>
        <v>0</v>
      </c>
      <c r="N390" s="1">
        <f>+IF(DailyData[[#This Row],[Column2]]=0,0,DailyData[[#This Row],[Date]])</f>
        <v>0</v>
      </c>
    </row>
    <row r="391" spans="3:14" x14ac:dyDescent="0.25">
      <c r="C391" s="1">
        <v>45877</v>
      </c>
      <c r="D391" s="2" t="s">
        <v>19</v>
      </c>
      <c r="E391">
        <v>6000</v>
      </c>
      <c r="F391">
        <v>9.2999999999999999E-2</v>
      </c>
      <c r="G391">
        <v>9.5000000000000001E-2</v>
      </c>
      <c r="H391">
        <v>9.1999999999999998E-2</v>
      </c>
      <c r="I391">
        <v>9.5000000000000001E-2</v>
      </c>
      <c r="J391">
        <v>28841</v>
      </c>
      <c r="K391">
        <v>570</v>
      </c>
      <c r="L391">
        <f t="shared" si="6"/>
        <v>0</v>
      </c>
      <c r="M391">
        <f>+IF(DailyData[[#This Row],[Column1]]&gt;0,DailyData[[#This Row],[Column1]]-L378,0)</f>
        <v>0</v>
      </c>
      <c r="N391" s="1">
        <f>+IF(DailyData[[#This Row],[Column2]]=0,0,DailyData[[#This Row],[Date]])</f>
        <v>0</v>
      </c>
    </row>
    <row r="392" spans="3:14" x14ac:dyDescent="0.25">
      <c r="C392" s="1">
        <v>45877</v>
      </c>
      <c r="D392" s="2" t="s">
        <v>20</v>
      </c>
      <c r="E392">
        <v>0</v>
      </c>
      <c r="F392">
        <v>33.68</v>
      </c>
      <c r="G392">
        <v>33.909999999999997</v>
      </c>
      <c r="H392">
        <v>33.53</v>
      </c>
      <c r="I392">
        <v>33.659999999999997</v>
      </c>
      <c r="J392">
        <v>2930149</v>
      </c>
      <c r="K392">
        <v>0</v>
      </c>
      <c r="L392">
        <f t="shared" si="6"/>
        <v>0</v>
      </c>
      <c r="M392">
        <f>+IF(DailyData[[#This Row],[Column1]]&gt;0,DailyData[[#This Row],[Column1]]-L379,0)</f>
        <v>0</v>
      </c>
      <c r="N392" s="1">
        <f>+IF(DailyData[[#This Row],[Column2]]=0,0,DailyData[[#This Row],[Date]])</f>
        <v>0</v>
      </c>
    </row>
    <row r="393" spans="3:14" x14ac:dyDescent="0.25">
      <c r="C393" s="1">
        <v>45877</v>
      </c>
      <c r="D393" s="2" t="s">
        <v>21</v>
      </c>
      <c r="E393">
        <v>1288</v>
      </c>
      <c r="F393">
        <v>26.75</v>
      </c>
      <c r="G393">
        <v>26.975000000000001</v>
      </c>
      <c r="H393">
        <v>26.63</v>
      </c>
      <c r="I393">
        <v>26.83</v>
      </c>
      <c r="J393">
        <v>3340623</v>
      </c>
      <c r="K393">
        <v>34557.040000000001</v>
      </c>
      <c r="L393">
        <f t="shared" si="6"/>
        <v>1002268.1500000001</v>
      </c>
      <c r="M393">
        <f>+IF(DailyData[[#This Row],[Column1]]&gt;0,DailyData[[#This Row],[Column1]]-L380,0)</f>
        <v>17162.470000000088</v>
      </c>
      <c r="N393" s="1">
        <f>+IF(DailyData[[#This Row],[Column2]]=0,0,DailyData[[#This Row],[Date]])</f>
        <v>45877</v>
      </c>
    </row>
    <row r="394" spans="3:14" x14ac:dyDescent="0.25">
      <c r="C394" s="1">
        <v>45880</v>
      </c>
      <c r="D394" s="2" t="s">
        <v>9</v>
      </c>
      <c r="E394">
        <v>153181</v>
      </c>
      <c r="F394">
        <v>0.85499999999999998</v>
      </c>
      <c r="G394">
        <v>0.89</v>
      </c>
      <c r="H394">
        <v>0.85</v>
      </c>
      <c r="I394">
        <v>0.89</v>
      </c>
      <c r="J394">
        <v>2790514</v>
      </c>
      <c r="K394">
        <v>136331.09</v>
      </c>
      <c r="L394">
        <f t="shared" si="6"/>
        <v>0</v>
      </c>
      <c r="M394">
        <f>+IF(DailyData[[#This Row],[Column1]]&gt;0,DailyData[[#This Row],[Column1]]-L381,0)</f>
        <v>0</v>
      </c>
      <c r="N394" s="1">
        <f>+IF(DailyData[[#This Row],[Column2]]=0,0,DailyData[[#This Row],[Date]])</f>
        <v>0</v>
      </c>
    </row>
    <row r="395" spans="3:14" x14ac:dyDescent="0.25">
      <c r="C395" s="1">
        <v>45880</v>
      </c>
      <c r="D395" s="2" t="s">
        <v>10</v>
      </c>
      <c r="E395">
        <v>70000</v>
      </c>
      <c r="F395">
        <v>1.845</v>
      </c>
      <c r="G395">
        <v>1.855</v>
      </c>
      <c r="H395">
        <v>1.74</v>
      </c>
      <c r="I395">
        <v>1.74</v>
      </c>
      <c r="J395">
        <v>15385519</v>
      </c>
      <c r="K395">
        <v>121800</v>
      </c>
      <c r="L395">
        <f t="shared" si="6"/>
        <v>0</v>
      </c>
      <c r="M395">
        <f>+IF(DailyData[[#This Row],[Column1]]&gt;0,DailyData[[#This Row],[Column1]]-L382,0)</f>
        <v>0</v>
      </c>
      <c r="N395" s="1">
        <f>+IF(DailyData[[#This Row],[Column2]]=0,0,DailyData[[#This Row],[Date]])</f>
        <v>0</v>
      </c>
    </row>
    <row r="396" spans="3:14" x14ac:dyDescent="0.25">
      <c r="C396" s="1">
        <v>45880</v>
      </c>
      <c r="D396" s="2" t="s">
        <v>11</v>
      </c>
      <c r="E396">
        <v>57458</v>
      </c>
      <c r="F396">
        <v>0.58499999999999996</v>
      </c>
      <c r="G396">
        <v>0.60499999999999998</v>
      </c>
      <c r="H396">
        <v>0.57499999999999996</v>
      </c>
      <c r="I396">
        <v>0.59</v>
      </c>
      <c r="J396">
        <v>1416291</v>
      </c>
      <c r="K396">
        <v>33900.22</v>
      </c>
      <c r="L396">
        <f t="shared" si="6"/>
        <v>0</v>
      </c>
      <c r="M396">
        <f>+IF(DailyData[[#This Row],[Column1]]&gt;0,DailyData[[#This Row],[Column1]]-L383,0)</f>
        <v>0</v>
      </c>
      <c r="N396" s="1">
        <f>+IF(DailyData[[#This Row],[Column2]]=0,0,DailyData[[#This Row],[Date]])</f>
        <v>0</v>
      </c>
    </row>
    <row r="397" spans="3:14" x14ac:dyDescent="0.25">
      <c r="C397" s="1">
        <v>45880</v>
      </c>
      <c r="D397" s="2" t="s">
        <v>12</v>
      </c>
      <c r="E397">
        <v>16361</v>
      </c>
      <c r="F397">
        <v>40.700000000000003</v>
      </c>
      <c r="G397">
        <v>40.98</v>
      </c>
      <c r="H397">
        <v>40.65</v>
      </c>
      <c r="I397">
        <v>40.869999999999997</v>
      </c>
      <c r="J397">
        <v>4867453</v>
      </c>
      <c r="K397">
        <v>668674.05000000005</v>
      </c>
      <c r="L397">
        <f t="shared" si="6"/>
        <v>0</v>
      </c>
      <c r="M397">
        <f>+IF(DailyData[[#This Row],[Column1]]&gt;0,DailyData[[#This Row],[Column1]]-L384,0)</f>
        <v>0</v>
      </c>
      <c r="N397" s="1">
        <f>+IF(DailyData[[#This Row],[Column2]]=0,0,DailyData[[#This Row],[Date]])</f>
        <v>0</v>
      </c>
    </row>
    <row r="398" spans="3:14" x14ac:dyDescent="0.25">
      <c r="C398" s="1">
        <v>45880</v>
      </c>
      <c r="D398" s="2" t="s">
        <v>13</v>
      </c>
      <c r="E398">
        <v>44090</v>
      </c>
      <c r="F398">
        <v>1.2999999999999999E-2</v>
      </c>
      <c r="G398">
        <v>1.4E-2</v>
      </c>
      <c r="H398">
        <v>1.2E-2</v>
      </c>
      <c r="I398">
        <v>1.2999999999999999E-2</v>
      </c>
      <c r="J398">
        <v>1828510</v>
      </c>
      <c r="K398">
        <v>573.16999999999996</v>
      </c>
      <c r="L398">
        <f t="shared" si="6"/>
        <v>0</v>
      </c>
      <c r="M398">
        <f>+IF(DailyData[[#This Row],[Column1]]&gt;0,DailyData[[#This Row],[Column1]]-L385,0)</f>
        <v>0</v>
      </c>
      <c r="N398" s="1">
        <f>+IF(DailyData[[#This Row],[Column2]]=0,0,DailyData[[#This Row],[Date]])</f>
        <v>0</v>
      </c>
    </row>
    <row r="399" spans="3:14" x14ac:dyDescent="0.25">
      <c r="C399" s="1">
        <v>45880</v>
      </c>
      <c r="D399" s="2" t="s">
        <v>14</v>
      </c>
      <c r="E399">
        <v>0</v>
      </c>
      <c r="F399">
        <v>177.1</v>
      </c>
      <c r="G399">
        <v>178.6</v>
      </c>
      <c r="H399">
        <v>176.65</v>
      </c>
      <c r="I399">
        <v>178.6</v>
      </c>
      <c r="J399">
        <v>1129524</v>
      </c>
      <c r="K399">
        <v>0</v>
      </c>
      <c r="L399">
        <f t="shared" si="6"/>
        <v>0</v>
      </c>
      <c r="M399">
        <f>+IF(DailyData[[#This Row],[Column1]]&gt;0,DailyData[[#This Row],[Column1]]-L386,0)</f>
        <v>0</v>
      </c>
      <c r="N399" s="1">
        <f>+IF(DailyData[[#This Row],[Column2]]=0,0,DailyData[[#This Row],[Date]])</f>
        <v>0</v>
      </c>
    </row>
    <row r="400" spans="3:14" x14ac:dyDescent="0.25">
      <c r="C400" s="1">
        <v>45880</v>
      </c>
      <c r="D400" s="2" t="s">
        <v>15</v>
      </c>
      <c r="E400">
        <v>10000</v>
      </c>
      <c r="F400">
        <v>0.35499999999999998</v>
      </c>
      <c r="G400">
        <v>0.36499999999999999</v>
      </c>
      <c r="H400">
        <v>0.35</v>
      </c>
      <c r="I400">
        <v>0.35499999999999998</v>
      </c>
      <c r="J400">
        <v>81000</v>
      </c>
      <c r="K400">
        <v>3550</v>
      </c>
      <c r="L400">
        <f t="shared" si="6"/>
        <v>0</v>
      </c>
      <c r="M400">
        <f>+IF(DailyData[[#This Row],[Column1]]&gt;0,DailyData[[#This Row],[Column1]]-L387,0)</f>
        <v>0</v>
      </c>
      <c r="N400" s="1">
        <f>+IF(DailyData[[#This Row],[Column2]]=0,0,DailyData[[#This Row],[Date]])</f>
        <v>0</v>
      </c>
    </row>
    <row r="401" spans="3:14" x14ac:dyDescent="0.25">
      <c r="C401" s="1">
        <v>45880</v>
      </c>
      <c r="D401" s="2" t="s">
        <v>16</v>
      </c>
      <c r="E401">
        <v>20000</v>
      </c>
      <c r="F401">
        <v>0.30499999999999999</v>
      </c>
      <c r="G401">
        <v>0.31</v>
      </c>
      <c r="H401">
        <v>0.28000000000000003</v>
      </c>
      <c r="I401">
        <v>0.30499999999999999</v>
      </c>
      <c r="J401">
        <v>396501</v>
      </c>
      <c r="K401">
        <v>6100</v>
      </c>
      <c r="L401">
        <f t="shared" ref="L401:L464" si="7">+IF(C402&lt;&gt;C401,SUM(K389:K401),0)</f>
        <v>0</v>
      </c>
      <c r="M401">
        <f>+IF(DailyData[[#This Row],[Column1]]&gt;0,DailyData[[#This Row],[Column1]]-L388,0)</f>
        <v>0</v>
      </c>
      <c r="N401" s="1">
        <f>+IF(DailyData[[#This Row],[Column2]]=0,0,DailyData[[#This Row],[Date]])</f>
        <v>0</v>
      </c>
    </row>
    <row r="402" spans="3:14" x14ac:dyDescent="0.25">
      <c r="C402" s="1">
        <v>45880</v>
      </c>
      <c r="D402" s="2" t="s">
        <v>17</v>
      </c>
      <c r="E402">
        <v>700000</v>
      </c>
      <c r="F402">
        <v>2E-3</v>
      </c>
      <c r="G402">
        <v>2E-3</v>
      </c>
      <c r="H402">
        <v>2E-3</v>
      </c>
      <c r="I402">
        <v>2E-3</v>
      </c>
      <c r="J402">
        <v>1927490</v>
      </c>
      <c r="K402">
        <v>1400</v>
      </c>
      <c r="L402">
        <f t="shared" si="7"/>
        <v>0</v>
      </c>
      <c r="M402">
        <f>+IF(DailyData[[#This Row],[Column1]]&gt;0,DailyData[[#This Row],[Column1]]-L389,0)</f>
        <v>0</v>
      </c>
      <c r="N402" s="1">
        <f>+IF(DailyData[[#This Row],[Column2]]=0,0,DailyData[[#This Row],[Date]])</f>
        <v>0</v>
      </c>
    </row>
    <row r="403" spans="3:14" x14ac:dyDescent="0.25">
      <c r="C403" s="1">
        <v>45880</v>
      </c>
      <c r="D403" s="2" t="s">
        <v>18</v>
      </c>
      <c r="E403">
        <v>9412</v>
      </c>
      <c r="F403">
        <v>0.36</v>
      </c>
      <c r="G403">
        <v>0.37</v>
      </c>
      <c r="H403">
        <v>0.35499999999999998</v>
      </c>
      <c r="I403">
        <v>0.36</v>
      </c>
      <c r="J403">
        <v>120106</v>
      </c>
      <c r="K403">
        <v>3388.32</v>
      </c>
      <c r="L403">
        <f t="shared" si="7"/>
        <v>0</v>
      </c>
      <c r="M403">
        <f>+IF(DailyData[[#This Row],[Column1]]&gt;0,DailyData[[#This Row],[Column1]]-L390,0)</f>
        <v>0</v>
      </c>
      <c r="N403" s="1">
        <f>+IF(DailyData[[#This Row],[Column2]]=0,0,DailyData[[#This Row],[Date]])</f>
        <v>0</v>
      </c>
    </row>
    <row r="404" spans="3:14" x14ac:dyDescent="0.25">
      <c r="C404" s="1">
        <v>45880</v>
      </c>
      <c r="D404" s="2" t="s">
        <v>19</v>
      </c>
      <c r="E404">
        <v>6000</v>
      </c>
      <c r="F404">
        <v>9.5000000000000001E-2</v>
      </c>
      <c r="G404">
        <v>9.5000000000000001E-2</v>
      </c>
      <c r="H404">
        <v>9.2999999999999999E-2</v>
      </c>
      <c r="I404">
        <v>9.5000000000000001E-2</v>
      </c>
      <c r="J404">
        <v>20102</v>
      </c>
      <c r="K404">
        <v>570</v>
      </c>
      <c r="L404">
        <f t="shared" si="7"/>
        <v>0</v>
      </c>
      <c r="M404">
        <f>+IF(DailyData[[#This Row],[Column1]]&gt;0,DailyData[[#This Row],[Column1]]-L391,0)</f>
        <v>0</v>
      </c>
      <c r="N404" s="1">
        <f>+IF(DailyData[[#This Row],[Column2]]=0,0,DailyData[[#This Row],[Date]])</f>
        <v>0</v>
      </c>
    </row>
    <row r="405" spans="3:14" x14ac:dyDescent="0.25">
      <c r="C405" s="1">
        <v>45880</v>
      </c>
      <c r="D405" s="2" t="s">
        <v>20</v>
      </c>
      <c r="E405">
        <v>0</v>
      </c>
      <c r="F405">
        <v>33.89</v>
      </c>
      <c r="G405">
        <v>34.31</v>
      </c>
      <c r="H405">
        <v>33.71</v>
      </c>
      <c r="I405">
        <v>34.31</v>
      </c>
      <c r="J405">
        <v>3923020</v>
      </c>
      <c r="K405">
        <v>0</v>
      </c>
      <c r="L405">
        <f t="shared" si="7"/>
        <v>0</v>
      </c>
      <c r="M405">
        <f>+IF(DailyData[[#This Row],[Column1]]&gt;0,DailyData[[#This Row],[Column1]]-L392,0)</f>
        <v>0</v>
      </c>
      <c r="N405" s="1">
        <f>+IF(DailyData[[#This Row],[Column2]]=0,0,DailyData[[#This Row],[Date]])</f>
        <v>0</v>
      </c>
    </row>
    <row r="406" spans="3:14" x14ac:dyDescent="0.25">
      <c r="C406" s="1">
        <v>45880</v>
      </c>
      <c r="D406" s="2" t="s">
        <v>21</v>
      </c>
      <c r="E406">
        <v>1288</v>
      </c>
      <c r="F406">
        <v>26.83</v>
      </c>
      <c r="G406">
        <v>27.02</v>
      </c>
      <c r="H406">
        <v>26.83</v>
      </c>
      <c r="I406">
        <v>27.02</v>
      </c>
      <c r="J406">
        <v>2475078</v>
      </c>
      <c r="K406">
        <v>34801.760000000002</v>
      </c>
      <c r="L406">
        <f t="shared" si="7"/>
        <v>1011088.6100000001</v>
      </c>
      <c r="M406">
        <f>+IF(DailyData[[#This Row],[Column1]]&gt;0,DailyData[[#This Row],[Column1]]-L393,0)</f>
        <v>8820.4599999999627</v>
      </c>
      <c r="N406" s="1">
        <f>+IF(DailyData[[#This Row],[Column2]]=0,0,DailyData[[#This Row],[Date]])</f>
        <v>45880</v>
      </c>
    </row>
    <row r="407" spans="3:14" x14ac:dyDescent="0.25">
      <c r="C407" s="1">
        <v>45881</v>
      </c>
      <c r="D407" s="2" t="s">
        <v>9</v>
      </c>
      <c r="E407">
        <v>153181</v>
      </c>
      <c r="F407">
        <v>0.79500000000000004</v>
      </c>
      <c r="G407">
        <v>0.81499999999999995</v>
      </c>
      <c r="H407">
        <v>0.76500000000000001</v>
      </c>
      <c r="I407">
        <v>0.80500000000000005</v>
      </c>
      <c r="J407">
        <v>7429777</v>
      </c>
      <c r="K407">
        <v>123310.71</v>
      </c>
      <c r="L407">
        <f t="shared" si="7"/>
        <v>0</v>
      </c>
      <c r="M407">
        <f>+IF(DailyData[[#This Row],[Column1]]&gt;0,DailyData[[#This Row],[Column1]]-L394,0)</f>
        <v>0</v>
      </c>
      <c r="N407" s="1">
        <f>+IF(DailyData[[#This Row],[Column2]]=0,0,DailyData[[#This Row],[Date]])</f>
        <v>0</v>
      </c>
    </row>
    <row r="408" spans="3:14" x14ac:dyDescent="0.25">
      <c r="C408" s="1">
        <v>45881</v>
      </c>
      <c r="D408" s="2" t="s">
        <v>10</v>
      </c>
      <c r="E408">
        <v>70000</v>
      </c>
      <c r="F408">
        <v>1.7350000000000001</v>
      </c>
      <c r="G408">
        <v>1.7649999999999999</v>
      </c>
      <c r="H408">
        <v>1.7070000000000001</v>
      </c>
      <c r="I408">
        <v>1.71</v>
      </c>
      <c r="J408">
        <v>8962646</v>
      </c>
      <c r="K408">
        <v>119700</v>
      </c>
      <c r="L408">
        <f t="shared" si="7"/>
        <v>0</v>
      </c>
      <c r="M408">
        <f>+IF(DailyData[[#This Row],[Column1]]&gt;0,DailyData[[#This Row],[Column1]]-L395,0)</f>
        <v>0</v>
      </c>
      <c r="N408" s="1">
        <f>+IF(DailyData[[#This Row],[Column2]]=0,0,DailyData[[#This Row],[Date]])</f>
        <v>0</v>
      </c>
    </row>
    <row r="409" spans="3:14" x14ac:dyDescent="0.25">
      <c r="C409" s="1">
        <v>45881</v>
      </c>
      <c r="D409" s="2" t="s">
        <v>11</v>
      </c>
      <c r="E409">
        <v>57458</v>
      </c>
      <c r="F409">
        <v>0.59499999999999997</v>
      </c>
      <c r="G409">
        <v>0.60799999999999998</v>
      </c>
      <c r="H409">
        <v>0.57999999999999996</v>
      </c>
      <c r="I409">
        <v>0.57999999999999996</v>
      </c>
      <c r="J409">
        <v>723182</v>
      </c>
      <c r="K409">
        <v>33325.64</v>
      </c>
      <c r="L409">
        <f t="shared" si="7"/>
        <v>0</v>
      </c>
      <c r="M409">
        <f>+IF(DailyData[[#This Row],[Column1]]&gt;0,DailyData[[#This Row],[Column1]]-L396,0)</f>
        <v>0</v>
      </c>
      <c r="N409" s="1">
        <f>+IF(DailyData[[#This Row],[Column2]]=0,0,DailyData[[#This Row],[Date]])</f>
        <v>0</v>
      </c>
    </row>
    <row r="410" spans="3:14" x14ac:dyDescent="0.25">
      <c r="C410" s="1">
        <v>45881</v>
      </c>
      <c r="D410" s="2" t="s">
        <v>12</v>
      </c>
      <c r="E410">
        <v>16361</v>
      </c>
      <c r="F410">
        <v>40.99</v>
      </c>
      <c r="G410">
        <v>41.35</v>
      </c>
      <c r="H410">
        <v>40.82</v>
      </c>
      <c r="I410">
        <v>41.26</v>
      </c>
      <c r="J410">
        <v>6893144</v>
      </c>
      <c r="K410">
        <v>675054.83</v>
      </c>
      <c r="L410">
        <f t="shared" si="7"/>
        <v>0</v>
      </c>
      <c r="M410">
        <f>+IF(DailyData[[#This Row],[Column1]]&gt;0,DailyData[[#This Row],[Column1]]-L397,0)</f>
        <v>0</v>
      </c>
      <c r="N410" s="1">
        <f>+IF(DailyData[[#This Row],[Column2]]=0,0,DailyData[[#This Row],[Date]])</f>
        <v>0</v>
      </c>
    </row>
    <row r="411" spans="3:14" x14ac:dyDescent="0.25">
      <c r="C411" s="1">
        <v>45881</v>
      </c>
      <c r="D411" s="2" t="s">
        <v>13</v>
      </c>
      <c r="E411">
        <v>44090</v>
      </c>
      <c r="F411">
        <v>1.2999999999999999E-2</v>
      </c>
      <c r="G411">
        <v>1.4E-2</v>
      </c>
      <c r="H411">
        <v>1.2999999999999999E-2</v>
      </c>
      <c r="I411">
        <v>1.4E-2</v>
      </c>
      <c r="J411">
        <v>883728</v>
      </c>
      <c r="K411">
        <v>617.26</v>
      </c>
      <c r="L411">
        <f t="shared" si="7"/>
        <v>0</v>
      </c>
      <c r="M411">
        <f>+IF(DailyData[[#This Row],[Column1]]&gt;0,DailyData[[#This Row],[Column1]]-L398,0)</f>
        <v>0</v>
      </c>
      <c r="N411" s="1">
        <f>+IF(DailyData[[#This Row],[Column2]]=0,0,DailyData[[#This Row],[Date]])</f>
        <v>0</v>
      </c>
    </row>
    <row r="412" spans="3:14" x14ac:dyDescent="0.25">
      <c r="C412" s="1">
        <v>45881</v>
      </c>
      <c r="D412" s="2" t="s">
        <v>14</v>
      </c>
      <c r="E412">
        <v>0</v>
      </c>
      <c r="F412">
        <v>178.6</v>
      </c>
      <c r="G412">
        <v>180</v>
      </c>
      <c r="H412">
        <v>178.05500000000001</v>
      </c>
      <c r="I412">
        <v>178.8</v>
      </c>
      <c r="J412">
        <v>1888777</v>
      </c>
      <c r="K412">
        <v>0</v>
      </c>
      <c r="L412">
        <f t="shared" si="7"/>
        <v>0</v>
      </c>
      <c r="M412">
        <f>+IF(DailyData[[#This Row],[Column1]]&gt;0,DailyData[[#This Row],[Column1]]-L399,0)</f>
        <v>0</v>
      </c>
      <c r="N412" s="1">
        <f>+IF(DailyData[[#This Row],[Column2]]=0,0,DailyData[[#This Row],[Date]])</f>
        <v>0</v>
      </c>
    </row>
    <row r="413" spans="3:14" x14ac:dyDescent="0.25">
      <c r="C413" s="1">
        <v>45881</v>
      </c>
      <c r="D413" s="2" t="s">
        <v>15</v>
      </c>
      <c r="E413">
        <v>10000</v>
      </c>
      <c r="F413">
        <v>0.35</v>
      </c>
      <c r="G413">
        <v>0.35499999999999998</v>
      </c>
      <c r="H413">
        <v>0.34</v>
      </c>
      <c r="I413">
        <v>0.35</v>
      </c>
      <c r="J413">
        <v>207202</v>
      </c>
      <c r="K413">
        <v>3500</v>
      </c>
      <c r="L413">
        <f t="shared" si="7"/>
        <v>0</v>
      </c>
      <c r="M413">
        <f>+IF(DailyData[[#This Row],[Column1]]&gt;0,DailyData[[#This Row],[Column1]]-L400,0)</f>
        <v>0</v>
      </c>
      <c r="N413" s="1">
        <f>+IF(DailyData[[#This Row],[Column2]]=0,0,DailyData[[#This Row],[Date]])</f>
        <v>0</v>
      </c>
    </row>
    <row r="414" spans="3:14" x14ac:dyDescent="0.25">
      <c r="C414" s="1">
        <v>45881</v>
      </c>
      <c r="D414" s="2" t="s">
        <v>16</v>
      </c>
      <c r="E414">
        <v>20000</v>
      </c>
      <c r="F414">
        <v>0.29499999999999998</v>
      </c>
      <c r="G414">
        <v>0.315</v>
      </c>
      <c r="H414">
        <v>0.29499999999999998</v>
      </c>
      <c r="I414">
        <v>0.3</v>
      </c>
      <c r="J414">
        <v>294739</v>
      </c>
      <c r="K414">
        <v>6000</v>
      </c>
      <c r="L414">
        <f t="shared" si="7"/>
        <v>0</v>
      </c>
      <c r="M414">
        <f>+IF(DailyData[[#This Row],[Column1]]&gt;0,DailyData[[#This Row],[Column1]]-L401,0)</f>
        <v>0</v>
      </c>
      <c r="N414" s="1">
        <f>+IF(DailyData[[#This Row],[Column2]]=0,0,DailyData[[#This Row],[Date]])</f>
        <v>0</v>
      </c>
    </row>
    <row r="415" spans="3:14" x14ac:dyDescent="0.25">
      <c r="C415" s="1">
        <v>45881</v>
      </c>
      <c r="D415" s="2" t="s">
        <v>17</v>
      </c>
      <c r="E415">
        <v>700000</v>
      </c>
      <c r="F415">
        <v>2E-3</v>
      </c>
      <c r="G415">
        <v>2E-3</v>
      </c>
      <c r="H415">
        <v>2E-3</v>
      </c>
      <c r="I415">
        <v>2E-3</v>
      </c>
      <c r="J415">
        <v>207608</v>
      </c>
      <c r="K415">
        <v>1750</v>
      </c>
      <c r="L415">
        <f t="shared" si="7"/>
        <v>0</v>
      </c>
      <c r="M415">
        <f>+IF(DailyData[[#This Row],[Column1]]&gt;0,DailyData[[#This Row],[Column1]]-L402,0)</f>
        <v>0</v>
      </c>
      <c r="N415" s="1">
        <f>+IF(DailyData[[#This Row],[Column2]]=0,0,DailyData[[#This Row],[Date]])</f>
        <v>0</v>
      </c>
    </row>
    <row r="416" spans="3:14" x14ac:dyDescent="0.25">
      <c r="C416" s="1">
        <v>45881</v>
      </c>
      <c r="D416" s="2" t="s">
        <v>18</v>
      </c>
      <c r="E416">
        <v>9412</v>
      </c>
      <c r="F416">
        <v>0.36</v>
      </c>
      <c r="G416">
        <v>0.37</v>
      </c>
      <c r="H416">
        <v>0.35</v>
      </c>
      <c r="I416">
        <v>0.35</v>
      </c>
      <c r="J416">
        <v>55074</v>
      </c>
      <c r="K416">
        <v>3294.2</v>
      </c>
      <c r="L416">
        <f t="shared" si="7"/>
        <v>0</v>
      </c>
      <c r="M416">
        <f>+IF(DailyData[[#This Row],[Column1]]&gt;0,DailyData[[#This Row],[Column1]]-L403,0)</f>
        <v>0</v>
      </c>
      <c r="N416" s="1">
        <f>+IF(DailyData[[#This Row],[Column2]]=0,0,DailyData[[#This Row],[Date]])</f>
        <v>0</v>
      </c>
    </row>
    <row r="417" spans="3:14" x14ac:dyDescent="0.25">
      <c r="C417" s="1">
        <v>45881</v>
      </c>
      <c r="D417" s="2" t="s">
        <v>19</v>
      </c>
      <c r="E417">
        <v>6000</v>
      </c>
      <c r="F417">
        <v>9.5000000000000001E-2</v>
      </c>
      <c r="G417">
        <v>0.1</v>
      </c>
      <c r="H417">
        <v>9.2999999999999999E-2</v>
      </c>
      <c r="I417">
        <v>0.1</v>
      </c>
      <c r="J417">
        <v>84451</v>
      </c>
      <c r="K417">
        <v>600</v>
      </c>
      <c r="L417">
        <f t="shared" si="7"/>
        <v>0</v>
      </c>
      <c r="M417">
        <f>+IF(DailyData[[#This Row],[Column1]]&gt;0,DailyData[[#This Row],[Column1]]-L404,0)</f>
        <v>0</v>
      </c>
      <c r="N417" s="1">
        <f>+IF(DailyData[[#This Row],[Column2]]=0,0,DailyData[[#This Row],[Date]])</f>
        <v>0</v>
      </c>
    </row>
    <row r="418" spans="3:14" x14ac:dyDescent="0.25">
      <c r="C418" s="1">
        <v>45881</v>
      </c>
      <c r="D418" s="2" t="s">
        <v>20</v>
      </c>
      <c r="E418">
        <v>0</v>
      </c>
      <c r="F418">
        <v>34.299999999999997</v>
      </c>
      <c r="G418">
        <v>34.76</v>
      </c>
      <c r="H418">
        <v>34.26</v>
      </c>
      <c r="I418">
        <v>34.630000000000003</v>
      </c>
      <c r="J418">
        <v>5307171</v>
      </c>
      <c r="K418">
        <v>0</v>
      </c>
      <c r="L418">
        <f t="shared" si="7"/>
        <v>0</v>
      </c>
      <c r="M418">
        <f>+IF(DailyData[[#This Row],[Column1]]&gt;0,DailyData[[#This Row],[Column1]]-L405,0)</f>
        <v>0</v>
      </c>
      <c r="N418" s="1">
        <f>+IF(DailyData[[#This Row],[Column2]]=0,0,DailyData[[#This Row],[Date]])</f>
        <v>0</v>
      </c>
    </row>
    <row r="419" spans="3:14" x14ac:dyDescent="0.25">
      <c r="C419" s="1">
        <v>45881</v>
      </c>
      <c r="D419" s="2" t="s">
        <v>21</v>
      </c>
      <c r="E419">
        <v>1288</v>
      </c>
      <c r="F419">
        <v>27</v>
      </c>
      <c r="G419">
        <v>27.05</v>
      </c>
      <c r="H419">
        <v>26.86</v>
      </c>
      <c r="I419">
        <v>27.02</v>
      </c>
      <c r="J419">
        <v>2791302</v>
      </c>
      <c r="K419">
        <v>34801.760000000002</v>
      </c>
      <c r="L419">
        <f t="shared" si="7"/>
        <v>1001954.3999999999</v>
      </c>
      <c r="M419">
        <f>+IF(DailyData[[#This Row],[Column1]]&gt;0,DailyData[[#This Row],[Column1]]-L406,0)</f>
        <v>-9134.2100000001956</v>
      </c>
      <c r="N419" s="1">
        <f>+IF(DailyData[[#This Row],[Column2]]=0,0,DailyData[[#This Row],[Date]])</f>
        <v>45881</v>
      </c>
    </row>
    <row r="420" spans="3:14" x14ac:dyDescent="0.25">
      <c r="C420" s="1">
        <v>45882</v>
      </c>
      <c r="D420" s="2" t="s">
        <v>9</v>
      </c>
      <c r="E420">
        <v>153181</v>
      </c>
      <c r="F420">
        <v>0.80500000000000005</v>
      </c>
      <c r="G420">
        <v>0.83</v>
      </c>
      <c r="H420">
        <v>0.78500000000000003</v>
      </c>
      <c r="I420">
        <v>0.82</v>
      </c>
      <c r="J420">
        <v>5615747</v>
      </c>
      <c r="K420">
        <v>125608.42</v>
      </c>
      <c r="L420">
        <f t="shared" si="7"/>
        <v>0</v>
      </c>
      <c r="M420">
        <f>+IF(DailyData[[#This Row],[Column1]]&gt;0,DailyData[[#This Row],[Column1]]-L407,0)</f>
        <v>0</v>
      </c>
      <c r="N420" s="1">
        <f>+IF(DailyData[[#This Row],[Column2]]=0,0,DailyData[[#This Row],[Date]])</f>
        <v>0</v>
      </c>
    </row>
    <row r="421" spans="3:14" x14ac:dyDescent="0.25">
      <c r="C421" s="1">
        <v>45882</v>
      </c>
      <c r="D421" s="2" t="s">
        <v>10</v>
      </c>
      <c r="E421">
        <v>70000</v>
      </c>
      <c r="F421">
        <v>1.73</v>
      </c>
      <c r="G421">
        <v>1.7629999999999999</v>
      </c>
      <c r="H421">
        <v>1.712</v>
      </c>
      <c r="I421">
        <v>1.7350000000000001</v>
      </c>
      <c r="J421">
        <v>7990283</v>
      </c>
      <c r="K421">
        <v>121450</v>
      </c>
      <c r="L421">
        <f t="shared" si="7"/>
        <v>0</v>
      </c>
      <c r="M421">
        <f>+IF(DailyData[[#This Row],[Column1]]&gt;0,DailyData[[#This Row],[Column1]]-L408,0)</f>
        <v>0</v>
      </c>
      <c r="N421" s="1">
        <f>+IF(DailyData[[#This Row],[Column2]]=0,0,DailyData[[#This Row],[Date]])</f>
        <v>0</v>
      </c>
    </row>
    <row r="422" spans="3:14" x14ac:dyDescent="0.25">
      <c r="C422" s="1">
        <v>45882</v>
      </c>
      <c r="D422" s="2" t="s">
        <v>11</v>
      </c>
      <c r="E422">
        <v>57458</v>
      </c>
      <c r="F422">
        <v>0.59</v>
      </c>
      <c r="G422">
        <v>0.6</v>
      </c>
      <c r="H422">
        <v>0.57999999999999996</v>
      </c>
      <c r="I422">
        <v>0.57999999999999996</v>
      </c>
      <c r="J422">
        <v>636079</v>
      </c>
      <c r="K422">
        <v>33325.64</v>
      </c>
      <c r="L422">
        <f t="shared" si="7"/>
        <v>0</v>
      </c>
      <c r="M422">
        <f>+IF(DailyData[[#This Row],[Column1]]&gt;0,DailyData[[#This Row],[Column1]]-L409,0)</f>
        <v>0</v>
      </c>
      <c r="N422" s="1">
        <f>+IF(DailyData[[#This Row],[Column2]]=0,0,DailyData[[#This Row],[Date]])</f>
        <v>0</v>
      </c>
    </row>
    <row r="423" spans="3:14" x14ac:dyDescent="0.25">
      <c r="C423" s="1">
        <v>45882</v>
      </c>
      <c r="D423" s="2" t="s">
        <v>12</v>
      </c>
      <c r="E423">
        <v>16361</v>
      </c>
      <c r="F423">
        <v>41.42</v>
      </c>
      <c r="G423">
        <v>41.95</v>
      </c>
      <c r="H423">
        <v>41.41</v>
      </c>
      <c r="I423">
        <v>41.73</v>
      </c>
      <c r="J423">
        <v>8188549</v>
      </c>
      <c r="K423">
        <v>682744.52</v>
      </c>
      <c r="L423">
        <f t="shared" si="7"/>
        <v>0</v>
      </c>
      <c r="M423">
        <f>+IF(DailyData[[#This Row],[Column1]]&gt;0,DailyData[[#This Row],[Column1]]-L410,0)</f>
        <v>0</v>
      </c>
      <c r="N423" s="1">
        <f>+IF(DailyData[[#This Row],[Column2]]=0,0,DailyData[[#This Row],[Date]])</f>
        <v>0</v>
      </c>
    </row>
    <row r="424" spans="3:14" x14ac:dyDescent="0.25">
      <c r="C424" s="1">
        <v>45882</v>
      </c>
      <c r="D424" s="2" t="s">
        <v>13</v>
      </c>
      <c r="E424">
        <v>44090</v>
      </c>
      <c r="F424">
        <v>1.2999999999999999E-2</v>
      </c>
      <c r="G424">
        <v>1.4E-2</v>
      </c>
      <c r="H424">
        <v>1.2999999999999999E-2</v>
      </c>
      <c r="I424">
        <v>1.2999999999999999E-2</v>
      </c>
      <c r="J424">
        <v>998888</v>
      </c>
      <c r="K424">
        <v>573.16999999999996</v>
      </c>
      <c r="L424">
        <f t="shared" si="7"/>
        <v>0</v>
      </c>
      <c r="M424">
        <f>+IF(DailyData[[#This Row],[Column1]]&gt;0,DailyData[[#This Row],[Column1]]-L411,0)</f>
        <v>0</v>
      </c>
      <c r="N424" s="1">
        <f>+IF(DailyData[[#This Row],[Column2]]=0,0,DailyData[[#This Row],[Date]])</f>
        <v>0</v>
      </c>
    </row>
    <row r="425" spans="3:14" x14ac:dyDescent="0.25">
      <c r="C425" s="1">
        <v>45882</v>
      </c>
      <c r="D425" s="2" t="s">
        <v>14</v>
      </c>
      <c r="E425">
        <v>0</v>
      </c>
      <c r="F425">
        <v>176.88</v>
      </c>
      <c r="G425">
        <v>177.7</v>
      </c>
      <c r="H425">
        <v>167.43</v>
      </c>
      <c r="I425">
        <v>169.12</v>
      </c>
      <c r="J425">
        <v>4412606</v>
      </c>
      <c r="K425">
        <v>0</v>
      </c>
      <c r="L425">
        <f t="shared" si="7"/>
        <v>0</v>
      </c>
      <c r="M425">
        <f>+IF(DailyData[[#This Row],[Column1]]&gt;0,DailyData[[#This Row],[Column1]]-L412,0)</f>
        <v>0</v>
      </c>
      <c r="N425" s="1">
        <f>+IF(DailyData[[#This Row],[Column2]]=0,0,DailyData[[#This Row],[Date]])</f>
        <v>0</v>
      </c>
    </row>
    <row r="426" spans="3:14" x14ac:dyDescent="0.25">
      <c r="C426" s="1">
        <v>45882</v>
      </c>
      <c r="D426" s="2" t="s">
        <v>15</v>
      </c>
      <c r="E426">
        <v>10000</v>
      </c>
      <c r="F426">
        <v>0.34499999999999997</v>
      </c>
      <c r="G426">
        <v>0.35</v>
      </c>
      <c r="H426">
        <v>0.33500000000000002</v>
      </c>
      <c r="I426">
        <v>0.34</v>
      </c>
      <c r="J426">
        <v>300151</v>
      </c>
      <c r="K426">
        <v>3400</v>
      </c>
      <c r="L426">
        <f t="shared" si="7"/>
        <v>0</v>
      </c>
      <c r="M426">
        <f>+IF(DailyData[[#This Row],[Column1]]&gt;0,DailyData[[#This Row],[Column1]]-L413,0)</f>
        <v>0</v>
      </c>
      <c r="N426" s="1">
        <f>+IF(DailyData[[#This Row],[Column2]]=0,0,DailyData[[#This Row],[Date]])</f>
        <v>0</v>
      </c>
    </row>
    <row r="427" spans="3:14" x14ac:dyDescent="0.25">
      <c r="C427" s="1">
        <v>45882</v>
      </c>
      <c r="D427" s="2" t="s">
        <v>16</v>
      </c>
      <c r="E427">
        <v>20000</v>
      </c>
      <c r="F427">
        <v>0.3</v>
      </c>
      <c r="G427">
        <v>0.30499999999999999</v>
      </c>
      <c r="H427">
        <v>0.28999999999999998</v>
      </c>
      <c r="I427">
        <v>0.3</v>
      </c>
      <c r="J427">
        <v>175889</v>
      </c>
      <c r="K427">
        <v>6000</v>
      </c>
      <c r="L427">
        <f t="shared" si="7"/>
        <v>0</v>
      </c>
      <c r="M427">
        <f>+IF(DailyData[[#This Row],[Column1]]&gt;0,DailyData[[#This Row],[Column1]]-L414,0)</f>
        <v>0</v>
      </c>
      <c r="N427" s="1">
        <f>+IF(DailyData[[#This Row],[Column2]]=0,0,DailyData[[#This Row],[Date]])</f>
        <v>0</v>
      </c>
    </row>
    <row r="428" spans="3:14" x14ac:dyDescent="0.25">
      <c r="C428" s="1">
        <v>45882</v>
      </c>
      <c r="D428" s="2" t="s">
        <v>17</v>
      </c>
      <c r="E428">
        <v>700000</v>
      </c>
      <c r="F428">
        <v>2E-3</v>
      </c>
      <c r="G428">
        <v>2E-3</v>
      </c>
      <c r="H428">
        <v>2E-3</v>
      </c>
      <c r="I428">
        <v>2E-3</v>
      </c>
      <c r="J428">
        <v>5176651</v>
      </c>
      <c r="K428">
        <v>1750</v>
      </c>
      <c r="L428">
        <f t="shared" si="7"/>
        <v>0</v>
      </c>
      <c r="M428">
        <f>+IF(DailyData[[#This Row],[Column1]]&gt;0,DailyData[[#This Row],[Column1]]-L415,0)</f>
        <v>0</v>
      </c>
      <c r="N428" s="1">
        <f>+IF(DailyData[[#This Row],[Column2]]=0,0,DailyData[[#This Row],[Date]])</f>
        <v>0</v>
      </c>
    </row>
    <row r="429" spans="3:14" x14ac:dyDescent="0.25">
      <c r="C429" s="1">
        <v>45882</v>
      </c>
      <c r="D429" s="2" t="s">
        <v>18</v>
      </c>
      <c r="E429">
        <v>9412</v>
      </c>
      <c r="F429">
        <v>0.35</v>
      </c>
      <c r="G429">
        <v>0.35499999999999998</v>
      </c>
      <c r="H429">
        <v>0.35</v>
      </c>
      <c r="I429">
        <v>0.35</v>
      </c>
      <c r="J429">
        <v>86869</v>
      </c>
      <c r="K429">
        <v>3294.2</v>
      </c>
      <c r="L429">
        <f t="shared" si="7"/>
        <v>0</v>
      </c>
      <c r="M429">
        <f>+IF(DailyData[[#This Row],[Column1]]&gt;0,DailyData[[#This Row],[Column1]]-L416,0)</f>
        <v>0</v>
      </c>
      <c r="N429" s="1">
        <f>+IF(DailyData[[#This Row],[Column2]]=0,0,DailyData[[#This Row],[Date]])</f>
        <v>0</v>
      </c>
    </row>
    <row r="430" spans="3:14" x14ac:dyDescent="0.25">
      <c r="C430" s="1">
        <v>45882</v>
      </c>
      <c r="D430" s="2" t="s">
        <v>19</v>
      </c>
      <c r="E430">
        <v>6000</v>
      </c>
      <c r="F430">
        <v>9.7000000000000003E-2</v>
      </c>
      <c r="G430">
        <v>0.1</v>
      </c>
      <c r="H430">
        <v>9.5000000000000001E-2</v>
      </c>
      <c r="I430">
        <v>9.8000000000000004E-2</v>
      </c>
      <c r="J430">
        <v>140635</v>
      </c>
      <c r="K430">
        <v>588</v>
      </c>
      <c r="L430">
        <f t="shared" si="7"/>
        <v>0</v>
      </c>
      <c r="M430">
        <f>+IF(DailyData[[#This Row],[Column1]]&gt;0,DailyData[[#This Row],[Column1]]-L417,0)</f>
        <v>0</v>
      </c>
      <c r="N430" s="1">
        <f>+IF(DailyData[[#This Row],[Column2]]=0,0,DailyData[[#This Row],[Date]])</f>
        <v>0</v>
      </c>
    </row>
    <row r="431" spans="3:14" x14ac:dyDescent="0.25">
      <c r="C431" s="1">
        <v>45882</v>
      </c>
      <c r="D431" s="2" t="s">
        <v>20</v>
      </c>
      <c r="E431">
        <v>0</v>
      </c>
      <c r="F431">
        <v>34.64</v>
      </c>
      <c r="G431">
        <v>34.72</v>
      </c>
      <c r="H431">
        <v>33.79</v>
      </c>
      <c r="I431">
        <v>33.9</v>
      </c>
      <c r="J431">
        <v>4661340</v>
      </c>
      <c r="K431">
        <v>0</v>
      </c>
      <c r="L431">
        <f t="shared" si="7"/>
        <v>0</v>
      </c>
      <c r="M431">
        <f>+IF(DailyData[[#This Row],[Column1]]&gt;0,DailyData[[#This Row],[Column1]]-L418,0)</f>
        <v>0</v>
      </c>
      <c r="N431" s="1">
        <f>+IF(DailyData[[#This Row],[Column2]]=0,0,DailyData[[#This Row],[Date]])</f>
        <v>0</v>
      </c>
    </row>
    <row r="432" spans="3:14" x14ac:dyDescent="0.25">
      <c r="C432" s="1">
        <v>45882</v>
      </c>
      <c r="D432" s="2" t="s">
        <v>21</v>
      </c>
      <c r="E432">
        <v>1288</v>
      </c>
      <c r="F432">
        <v>26.99</v>
      </c>
      <c r="G432">
        <v>27.1</v>
      </c>
      <c r="H432">
        <v>26.78</v>
      </c>
      <c r="I432">
        <v>26.78</v>
      </c>
      <c r="J432">
        <v>3511035</v>
      </c>
      <c r="K432">
        <v>34492.639999999999</v>
      </c>
      <c r="L432">
        <f t="shared" si="7"/>
        <v>1013226.5900000001</v>
      </c>
      <c r="M432">
        <f>+IF(DailyData[[#This Row],[Column1]]&gt;0,DailyData[[#This Row],[Column1]]-L419,0)</f>
        <v>11272.190000000177</v>
      </c>
      <c r="N432" s="1">
        <f>+IF(DailyData[[#This Row],[Column2]]=0,0,DailyData[[#This Row],[Date]])</f>
        <v>45882</v>
      </c>
    </row>
    <row r="433" spans="3:14" x14ac:dyDescent="0.25">
      <c r="C433" s="1">
        <v>45883</v>
      </c>
      <c r="D433" s="2" t="s">
        <v>9</v>
      </c>
      <c r="E433">
        <v>153181</v>
      </c>
      <c r="F433">
        <v>0.82</v>
      </c>
      <c r="G433">
        <v>0.85499999999999998</v>
      </c>
      <c r="H433">
        <v>0.82</v>
      </c>
      <c r="I433">
        <v>0.83499999999999996</v>
      </c>
      <c r="J433">
        <v>8118330</v>
      </c>
      <c r="K433">
        <v>127906.13</v>
      </c>
      <c r="L433">
        <f t="shared" si="7"/>
        <v>0</v>
      </c>
      <c r="M433">
        <f>+IF(DailyData[[#This Row],[Column1]]&gt;0,DailyData[[#This Row],[Column1]]-L420,0)</f>
        <v>0</v>
      </c>
      <c r="N433" s="1">
        <f>+IF(DailyData[[#This Row],[Column2]]=0,0,DailyData[[#This Row],[Date]])</f>
        <v>0</v>
      </c>
    </row>
    <row r="434" spans="3:14" x14ac:dyDescent="0.25">
      <c r="C434" s="1">
        <v>45883</v>
      </c>
      <c r="D434" s="2" t="s">
        <v>10</v>
      </c>
      <c r="E434">
        <v>70000</v>
      </c>
      <c r="F434">
        <v>1.74</v>
      </c>
      <c r="G434">
        <v>1.79</v>
      </c>
      <c r="H434">
        <v>1.74</v>
      </c>
      <c r="I434">
        <v>1.7749999999999999</v>
      </c>
      <c r="J434">
        <v>6822386</v>
      </c>
      <c r="K434">
        <v>124250</v>
      </c>
      <c r="L434">
        <f t="shared" si="7"/>
        <v>0</v>
      </c>
      <c r="M434">
        <f>+IF(DailyData[[#This Row],[Column1]]&gt;0,DailyData[[#This Row],[Column1]]-L421,0)</f>
        <v>0</v>
      </c>
      <c r="N434" s="1">
        <f>+IF(DailyData[[#This Row],[Column2]]=0,0,DailyData[[#This Row],[Date]])</f>
        <v>0</v>
      </c>
    </row>
    <row r="435" spans="3:14" x14ac:dyDescent="0.25">
      <c r="C435" s="1">
        <v>45883</v>
      </c>
      <c r="D435" s="2" t="s">
        <v>11</v>
      </c>
      <c r="E435">
        <v>57458</v>
      </c>
      <c r="F435">
        <v>0.59</v>
      </c>
      <c r="G435">
        <v>0.59199999999999997</v>
      </c>
      <c r="H435">
        <v>0.56499999999999995</v>
      </c>
      <c r="I435">
        <v>0.56499999999999995</v>
      </c>
      <c r="J435">
        <v>936041</v>
      </c>
      <c r="K435">
        <v>32463.77</v>
      </c>
      <c r="L435">
        <f t="shared" si="7"/>
        <v>0</v>
      </c>
      <c r="M435">
        <f>+IF(DailyData[[#This Row],[Column1]]&gt;0,DailyData[[#This Row],[Column1]]-L422,0)</f>
        <v>0</v>
      </c>
      <c r="N435" s="1">
        <f>+IF(DailyData[[#This Row],[Column2]]=0,0,DailyData[[#This Row],[Date]])</f>
        <v>0</v>
      </c>
    </row>
    <row r="436" spans="3:14" x14ac:dyDescent="0.25">
      <c r="C436" s="1">
        <v>45883</v>
      </c>
      <c r="D436" s="2" t="s">
        <v>12</v>
      </c>
      <c r="E436">
        <v>16361</v>
      </c>
      <c r="F436">
        <v>41.85</v>
      </c>
      <c r="G436">
        <v>42.06</v>
      </c>
      <c r="H436">
        <v>41.27</v>
      </c>
      <c r="I436">
        <v>41.51</v>
      </c>
      <c r="J436">
        <v>7815890</v>
      </c>
      <c r="K436">
        <v>679145.08</v>
      </c>
      <c r="L436">
        <f t="shared" si="7"/>
        <v>0</v>
      </c>
      <c r="M436">
        <f>+IF(DailyData[[#This Row],[Column1]]&gt;0,DailyData[[#This Row],[Column1]]-L423,0)</f>
        <v>0</v>
      </c>
      <c r="N436" s="1">
        <f>+IF(DailyData[[#This Row],[Column2]]=0,0,DailyData[[#This Row],[Date]])</f>
        <v>0</v>
      </c>
    </row>
    <row r="437" spans="3:14" x14ac:dyDescent="0.25">
      <c r="C437" s="1">
        <v>45883</v>
      </c>
      <c r="D437" s="2" t="s">
        <v>13</v>
      </c>
      <c r="E437">
        <v>44090</v>
      </c>
      <c r="F437">
        <v>1.4E-2</v>
      </c>
      <c r="G437">
        <v>1.6E-2</v>
      </c>
      <c r="H437">
        <v>1.4E-2</v>
      </c>
      <c r="I437">
        <v>1.6E-2</v>
      </c>
      <c r="J437">
        <v>1108697</v>
      </c>
      <c r="K437">
        <v>705.44</v>
      </c>
      <c r="L437">
        <f t="shared" si="7"/>
        <v>0</v>
      </c>
      <c r="M437">
        <f>+IF(DailyData[[#This Row],[Column1]]&gt;0,DailyData[[#This Row],[Column1]]-L424,0)</f>
        <v>0</v>
      </c>
      <c r="N437" s="1">
        <f>+IF(DailyData[[#This Row],[Column2]]=0,0,DailyData[[#This Row],[Date]])</f>
        <v>0</v>
      </c>
    </row>
    <row r="438" spans="3:14" x14ac:dyDescent="0.25">
      <c r="C438" s="1">
        <v>45883</v>
      </c>
      <c r="D438" s="2" t="s">
        <v>14</v>
      </c>
      <c r="E438">
        <v>0</v>
      </c>
      <c r="F438">
        <v>167.12</v>
      </c>
      <c r="G438">
        <v>168.97</v>
      </c>
      <c r="H438">
        <v>166.55</v>
      </c>
      <c r="I438">
        <v>167.21</v>
      </c>
      <c r="J438">
        <v>2943953</v>
      </c>
      <c r="K438">
        <v>0</v>
      </c>
      <c r="L438">
        <f t="shared" si="7"/>
        <v>0</v>
      </c>
      <c r="M438">
        <f>+IF(DailyData[[#This Row],[Column1]]&gt;0,DailyData[[#This Row],[Column1]]-L425,0)</f>
        <v>0</v>
      </c>
      <c r="N438" s="1">
        <f>+IF(DailyData[[#This Row],[Column2]]=0,0,DailyData[[#This Row],[Date]])</f>
        <v>0</v>
      </c>
    </row>
    <row r="439" spans="3:14" x14ac:dyDescent="0.25">
      <c r="C439" s="1">
        <v>45883</v>
      </c>
      <c r="D439" s="2" t="s">
        <v>15</v>
      </c>
      <c r="E439">
        <v>10000</v>
      </c>
      <c r="F439">
        <v>0.34</v>
      </c>
      <c r="G439">
        <v>0.34300000000000003</v>
      </c>
      <c r="H439">
        <v>0.33</v>
      </c>
      <c r="I439">
        <v>0.34</v>
      </c>
      <c r="J439">
        <v>390528</v>
      </c>
      <c r="K439">
        <v>3400</v>
      </c>
      <c r="L439">
        <f t="shared" si="7"/>
        <v>0</v>
      </c>
      <c r="M439">
        <f>+IF(DailyData[[#This Row],[Column1]]&gt;0,DailyData[[#This Row],[Column1]]-L426,0)</f>
        <v>0</v>
      </c>
      <c r="N439" s="1">
        <f>+IF(DailyData[[#This Row],[Column2]]=0,0,DailyData[[#This Row],[Date]])</f>
        <v>0</v>
      </c>
    </row>
    <row r="440" spans="3:14" x14ac:dyDescent="0.25">
      <c r="C440" s="1">
        <v>45883</v>
      </c>
      <c r="D440" s="2" t="s">
        <v>16</v>
      </c>
      <c r="E440">
        <v>20000</v>
      </c>
      <c r="F440">
        <v>0.28999999999999998</v>
      </c>
      <c r="G440">
        <v>0.28999999999999998</v>
      </c>
      <c r="H440">
        <v>0.28000000000000003</v>
      </c>
      <c r="I440">
        <v>0.28999999999999998</v>
      </c>
      <c r="J440">
        <v>21726</v>
      </c>
      <c r="K440">
        <v>5800</v>
      </c>
      <c r="L440">
        <f t="shared" si="7"/>
        <v>0</v>
      </c>
      <c r="M440">
        <f>+IF(DailyData[[#This Row],[Column1]]&gt;0,DailyData[[#This Row],[Column1]]-L427,0)</f>
        <v>0</v>
      </c>
      <c r="N440" s="1">
        <f>+IF(DailyData[[#This Row],[Column2]]=0,0,DailyData[[#This Row],[Date]])</f>
        <v>0</v>
      </c>
    </row>
    <row r="441" spans="3:14" x14ac:dyDescent="0.25">
      <c r="C441" s="1">
        <v>45883</v>
      </c>
      <c r="D441" s="2" t="s">
        <v>17</v>
      </c>
      <c r="E441">
        <v>700000</v>
      </c>
      <c r="F441">
        <v>2E-3</v>
      </c>
      <c r="G441">
        <v>2E-3</v>
      </c>
      <c r="H441">
        <v>2E-3</v>
      </c>
      <c r="I441">
        <v>2E-3</v>
      </c>
      <c r="J441">
        <v>4075333</v>
      </c>
      <c r="K441">
        <v>1400</v>
      </c>
      <c r="L441">
        <f t="shared" si="7"/>
        <v>0</v>
      </c>
      <c r="M441">
        <f>+IF(DailyData[[#This Row],[Column1]]&gt;0,DailyData[[#This Row],[Column1]]-L428,0)</f>
        <v>0</v>
      </c>
      <c r="N441" s="1">
        <f>+IF(DailyData[[#This Row],[Column2]]=0,0,DailyData[[#This Row],[Date]])</f>
        <v>0</v>
      </c>
    </row>
    <row r="442" spans="3:14" x14ac:dyDescent="0.25">
      <c r="C442" s="1">
        <v>45883</v>
      </c>
      <c r="D442" s="2" t="s">
        <v>18</v>
      </c>
      <c r="E442">
        <v>9412</v>
      </c>
      <c r="F442">
        <v>0.35499999999999998</v>
      </c>
      <c r="G442">
        <v>0.36</v>
      </c>
      <c r="H442">
        <v>0.35</v>
      </c>
      <c r="I442">
        <v>0.35499999999999998</v>
      </c>
      <c r="J442">
        <v>295111</v>
      </c>
      <c r="K442">
        <v>3341.26</v>
      </c>
      <c r="L442">
        <f t="shared" si="7"/>
        <v>0</v>
      </c>
      <c r="M442">
        <f>+IF(DailyData[[#This Row],[Column1]]&gt;0,DailyData[[#This Row],[Column1]]-L429,0)</f>
        <v>0</v>
      </c>
      <c r="N442" s="1">
        <f>+IF(DailyData[[#This Row],[Column2]]=0,0,DailyData[[#This Row],[Date]])</f>
        <v>0</v>
      </c>
    </row>
    <row r="443" spans="3:14" x14ac:dyDescent="0.25">
      <c r="C443" s="1">
        <v>45883</v>
      </c>
      <c r="D443" s="2" t="s">
        <v>19</v>
      </c>
      <c r="E443">
        <v>6000</v>
      </c>
      <c r="F443">
        <v>9.9000000000000005E-2</v>
      </c>
      <c r="G443">
        <v>0.1</v>
      </c>
      <c r="H443">
        <v>9.9000000000000005E-2</v>
      </c>
      <c r="I443">
        <v>0.1</v>
      </c>
      <c r="J443">
        <v>38460</v>
      </c>
      <c r="K443">
        <v>600</v>
      </c>
      <c r="L443">
        <f t="shared" si="7"/>
        <v>0</v>
      </c>
      <c r="M443">
        <f>+IF(DailyData[[#This Row],[Column1]]&gt;0,DailyData[[#This Row],[Column1]]-L430,0)</f>
        <v>0</v>
      </c>
      <c r="N443" s="1">
        <f>+IF(DailyData[[#This Row],[Column2]]=0,0,DailyData[[#This Row],[Date]])</f>
        <v>0</v>
      </c>
    </row>
    <row r="444" spans="3:14" x14ac:dyDescent="0.25">
      <c r="C444" s="1">
        <v>45883</v>
      </c>
      <c r="D444" s="2" t="s">
        <v>20</v>
      </c>
      <c r="E444">
        <v>0</v>
      </c>
      <c r="F444">
        <v>35.549999999999997</v>
      </c>
      <c r="G444">
        <v>36.28</v>
      </c>
      <c r="H444">
        <v>35.200000000000003</v>
      </c>
      <c r="I444">
        <v>36.04</v>
      </c>
      <c r="J444">
        <v>11629438</v>
      </c>
      <c r="K444">
        <v>0</v>
      </c>
      <c r="L444">
        <f t="shared" si="7"/>
        <v>0</v>
      </c>
      <c r="M444">
        <f>+IF(DailyData[[#This Row],[Column1]]&gt;0,DailyData[[#This Row],[Column1]]-L431,0)</f>
        <v>0</v>
      </c>
      <c r="N444" s="1">
        <f>+IF(DailyData[[#This Row],[Column2]]=0,0,DailyData[[#This Row],[Date]])</f>
        <v>0</v>
      </c>
    </row>
    <row r="445" spans="3:14" x14ac:dyDescent="0.25">
      <c r="C445" s="1">
        <v>45883</v>
      </c>
      <c r="D445" s="2" t="s">
        <v>21</v>
      </c>
      <c r="E445">
        <v>1288</v>
      </c>
      <c r="F445">
        <v>26.85</v>
      </c>
      <c r="G445">
        <v>26.96</v>
      </c>
      <c r="H445">
        <v>26.67</v>
      </c>
      <c r="I445">
        <v>26.76</v>
      </c>
      <c r="J445">
        <v>2603701</v>
      </c>
      <c r="K445">
        <v>34466.879999999997</v>
      </c>
      <c r="L445">
        <f t="shared" si="7"/>
        <v>1013478.5599999999</v>
      </c>
      <c r="M445">
        <f>+IF(DailyData[[#This Row],[Column1]]&gt;0,DailyData[[#This Row],[Column1]]-L432,0)</f>
        <v>251.96999999985565</v>
      </c>
      <c r="N445" s="1">
        <f>+IF(DailyData[[#This Row],[Column2]]=0,0,DailyData[[#This Row],[Date]])</f>
        <v>45883</v>
      </c>
    </row>
    <row r="446" spans="3:14" x14ac:dyDescent="0.25">
      <c r="C446" s="1">
        <v>45884</v>
      </c>
      <c r="D446" s="2" t="s">
        <v>9</v>
      </c>
      <c r="E446">
        <v>153181</v>
      </c>
      <c r="F446">
        <v>0.85499999999999998</v>
      </c>
      <c r="G446">
        <v>0.88500000000000001</v>
      </c>
      <c r="H446">
        <v>0.84</v>
      </c>
      <c r="I446">
        <v>0.88</v>
      </c>
      <c r="J446">
        <v>5020079</v>
      </c>
      <c r="K446">
        <v>134799.28</v>
      </c>
      <c r="L446">
        <f t="shared" si="7"/>
        <v>0</v>
      </c>
      <c r="M446">
        <f>+IF(DailyData[[#This Row],[Column1]]&gt;0,DailyData[[#This Row],[Column1]]-L433,0)</f>
        <v>0</v>
      </c>
      <c r="N446" s="1">
        <f>+IF(DailyData[[#This Row],[Column2]]=0,0,DailyData[[#This Row],[Date]])</f>
        <v>0</v>
      </c>
    </row>
    <row r="447" spans="3:14" x14ac:dyDescent="0.25">
      <c r="C447" s="1">
        <v>45884</v>
      </c>
      <c r="D447" s="2" t="s">
        <v>10</v>
      </c>
      <c r="E447">
        <v>70000</v>
      </c>
      <c r="F447">
        <v>1.78</v>
      </c>
      <c r="G447">
        <v>1.827</v>
      </c>
      <c r="H447">
        <v>1.7749999999999999</v>
      </c>
      <c r="I447">
        <v>1.825</v>
      </c>
      <c r="J447">
        <v>14241359</v>
      </c>
      <c r="K447">
        <v>127750</v>
      </c>
      <c r="L447">
        <f t="shared" si="7"/>
        <v>0</v>
      </c>
      <c r="M447">
        <f>+IF(DailyData[[#This Row],[Column1]]&gt;0,DailyData[[#This Row],[Column1]]-L434,0)</f>
        <v>0</v>
      </c>
      <c r="N447" s="1">
        <f>+IF(DailyData[[#This Row],[Column2]]=0,0,DailyData[[#This Row],[Date]])</f>
        <v>0</v>
      </c>
    </row>
    <row r="448" spans="3:14" x14ac:dyDescent="0.25">
      <c r="C448" s="1">
        <v>45884</v>
      </c>
      <c r="D448" s="2" t="s">
        <v>11</v>
      </c>
      <c r="E448">
        <v>57458</v>
      </c>
      <c r="F448">
        <v>0.57499999999999996</v>
      </c>
      <c r="G448">
        <v>0.57699999999999996</v>
      </c>
      <c r="H448">
        <v>0.55000000000000004</v>
      </c>
      <c r="I448">
        <v>0.57499999999999996</v>
      </c>
      <c r="J448">
        <v>874743</v>
      </c>
      <c r="K448">
        <v>33038.35</v>
      </c>
      <c r="L448">
        <f t="shared" si="7"/>
        <v>0</v>
      </c>
      <c r="M448">
        <f>+IF(DailyData[[#This Row],[Column1]]&gt;0,DailyData[[#This Row],[Column1]]-L435,0)</f>
        <v>0</v>
      </c>
      <c r="N448" s="1">
        <f>+IF(DailyData[[#This Row],[Column2]]=0,0,DailyData[[#This Row],[Date]])</f>
        <v>0</v>
      </c>
    </row>
    <row r="449" spans="3:14" x14ac:dyDescent="0.25">
      <c r="C449" s="1">
        <v>45884</v>
      </c>
      <c r="D449" s="2" t="s">
        <v>12</v>
      </c>
      <c r="E449">
        <v>16361</v>
      </c>
      <c r="F449">
        <v>41.55</v>
      </c>
      <c r="G449">
        <v>41.96</v>
      </c>
      <c r="H449">
        <v>41.39</v>
      </c>
      <c r="I449">
        <v>41.96</v>
      </c>
      <c r="J449">
        <v>6932247</v>
      </c>
      <c r="K449">
        <v>686507.55</v>
      </c>
      <c r="L449">
        <f t="shared" si="7"/>
        <v>0</v>
      </c>
      <c r="M449">
        <f>+IF(DailyData[[#This Row],[Column1]]&gt;0,DailyData[[#This Row],[Column1]]-L436,0)</f>
        <v>0</v>
      </c>
      <c r="N449" s="1">
        <f>+IF(DailyData[[#This Row],[Column2]]=0,0,DailyData[[#This Row],[Date]])</f>
        <v>0</v>
      </c>
    </row>
    <row r="450" spans="3:14" x14ac:dyDescent="0.25">
      <c r="C450" s="1">
        <v>45884</v>
      </c>
      <c r="D450" s="2" t="s">
        <v>13</v>
      </c>
      <c r="E450">
        <v>44090</v>
      </c>
      <c r="F450">
        <v>1.6E-2</v>
      </c>
      <c r="G450">
        <v>1.6E-2</v>
      </c>
      <c r="H450">
        <v>1.4E-2</v>
      </c>
      <c r="I450">
        <v>1.4E-2</v>
      </c>
      <c r="J450">
        <v>721467</v>
      </c>
      <c r="K450">
        <v>617.26</v>
      </c>
      <c r="L450">
        <f t="shared" si="7"/>
        <v>0</v>
      </c>
      <c r="M450">
        <f>+IF(DailyData[[#This Row],[Column1]]&gt;0,DailyData[[#This Row],[Column1]]-L437,0)</f>
        <v>0</v>
      </c>
      <c r="N450" s="1">
        <f>+IF(DailyData[[#This Row],[Column2]]=0,0,DailyData[[#This Row],[Date]])</f>
        <v>0</v>
      </c>
    </row>
    <row r="451" spans="3:14" x14ac:dyDescent="0.25">
      <c r="C451" s="1">
        <v>45884</v>
      </c>
      <c r="D451" s="2" t="s">
        <v>14</v>
      </c>
      <c r="E451">
        <v>0</v>
      </c>
      <c r="F451">
        <v>166.75</v>
      </c>
      <c r="G451">
        <v>168.73</v>
      </c>
      <c r="H451">
        <v>165.24</v>
      </c>
      <c r="I451">
        <v>168.17</v>
      </c>
      <c r="J451">
        <v>3133677</v>
      </c>
      <c r="K451">
        <v>0</v>
      </c>
      <c r="L451">
        <f t="shared" si="7"/>
        <v>0</v>
      </c>
      <c r="M451">
        <f>+IF(DailyData[[#This Row],[Column1]]&gt;0,DailyData[[#This Row],[Column1]]-L438,0)</f>
        <v>0</v>
      </c>
      <c r="N451" s="1">
        <f>+IF(DailyData[[#This Row],[Column2]]=0,0,DailyData[[#This Row],[Date]])</f>
        <v>0</v>
      </c>
    </row>
    <row r="452" spans="3:14" x14ac:dyDescent="0.25">
      <c r="C452" s="1">
        <v>45884</v>
      </c>
      <c r="D452" s="2" t="s">
        <v>15</v>
      </c>
      <c r="E452">
        <v>10000</v>
      </c>
      <c r="F452">
        <v>0.33</v>
      </c>
      <c r="G452">
        <v>0.34</v>
      </c>
      <c r="H452">
        <v>0.32</v>
      </c>
      <c r="I452">
        <v>0.34</v>
      </c>
      <c r="J452">
        <v>512794</v>
      </c>
      <c r="K452">
        <v>3400</v>
      </c>
      <c r="L452">
        <f t="shared" si="7"/>
        <v>0</v>
      </c>
      <c r="M452">
        <f>+IF(DailyData[[#This Row],[Column1]]&gt;0,DailyData[[#This Row],[Column1]]-L439,0)</f>
        <v>0</v>
      </c>
      <c r="N452" s="1">
        <f>+IF(DailyData[[#This Row],[Column2]]=0,0,DailyData[[#This Row],[Date]])</f>
        <v>0</v>
      </c>
    </row>
    <row r="453" spans="3:14" x14ac:dyDescent="0.25">
      <c r="C453" s="1">
        <v>45884</v>
      </c>
      <c r="D453" s="2" t="s">
        <v>16</v>
      </c>
      <c r="E453">
        <v>20000</v>
      </c>
      <c r="F453">
        <v>0.29499999999999998</v>
      </c>
      <c r="G453">
        <v>0.29499999999999998</v>
      </c>
      <c r="H453">
        <v>0.29499999999999998</v>
      </c>
      <c r="I453">
        <v>0.29499999999999998</v>
      </c>
      <c r="J453">
        <v>80617</v>
      </c>
      <c r="K453">
        <v>5900</v>
      </c>
      <c r="L453">
        <f t="shared" si="7"/>
        <v>0</v>
      </c>
      <c r="M453">
        <f>+IF(DailyData[[#This Row],[Column1]]&gt;0,DailyData[[#This Row],[Column1]]-L440,0)</f>
        <v>0</v>
      </c>
      <c r="N453" s="1">
        <f>+IF(DailyData[[#This Row],[Column2]]=0,0,DailyData[[#This Row],[Date]])</f>
        <v>0</v>
      </c>
    </row>
    <row r="454" spans="3:14" x14ac:dyDescent="0.25">
      <c r="C454" s="1">
        <v>45884</v>
      </c>
      <c r="D454" s="2" t="s">
        <v>17</v>
      </c>
      <c r="E454">
        <v>700000</v>
      </c>
      <c r="F454">
        <v>2E-3</v>
      </c>
      <c r="G454">
        <v>2E-3</v>
      </c>
      <c r="H454">
        <v>2E-3</v>
      </c>
      <c r="I454">
        <v>2E-3</v>
      </c>
      <c r="J454">
        <v>1185914</v>
      </c>
      <c r="K454">
        <v>1400</v>
      </c>
      <c r="L454">
        <f t="shared" si="7"/>
        <v>0</v>
      </c>
      <c r="M454">
        <f>+IF(DailyData[[#This Row],[Column1]]&gt;0,DailyData[[#This Row],[Column1]]-L441,0)</f>
        <v>0</v>
      </c>
      <c r="N454" s="1">
        <f>+IF(DailyData[[#This Row],[Column2]]=0,0,DailyData[[#This Row],[Date]])</f>
        <v>0</v>
      </c>
    </row>
    <row r="455" spans="3:14" x14ac:dyDescent="0.25">
      <c r="C455" s="1">
        <v>45884</v>
      </c>
      <c r="D455" s="2" t="s">
        <v>18</v>
      </c>
      <c r="E455">
        <v>9412</v>
      </c>
      <c r="F455">
        <v>0.36</v>
      </c>
      <c r="G455">
        <v>0.36</v>
      </c>
      <c r="H455">
        <v>0.34499999999999997</v>
      </c>
      <c r="I455">
        <v>0.36</v>
      </c>
      <c r="J455">
        <v>293363</v>
      </c>
      <c r="K455">
        <v>3388.32</v>
      </c>
      <c r="L455">
        <f t="shared" si="7"/>
        <v>0</v>
      </c>
      <c r="M455">
        <f>+IF(DailyData[[#This Row],[Column1]]&gt;0,DailyData[[#This Row],[Column1]]-L442,0)</f>
        <v>0</v>
      </c>
      <c r="N455" s="1">
        <f>+IF(DailyData[[#This Row],[Column2]]=0,0,DailyData[[#This Row],[Date]])</f>
        <v>0</v>
      </c>
    </row>
    <row r="456" spans="3:14" x14ac:dyDescent="0.25">
      <c r="C456" s="1">
        <v>45884</v>
      </c>
      <c r="D456" s="2" t="s">
        <v>19</v>
      </c>
      <c r="E456">
        <v>6000</v>
      </c>
      <c r="F456">
        <v>9.9000000000000005E-2</v>
      </c>
      <c r="G456">
        <v>0.11</v>
      </c>
      <c r="H456">
        <v>9.8000000000000004E-2</v>
      </c>
      <c r="I456">
        <v>0.11</v>
      </c>
      <c r="J456">
        <v>363877</v>
      </c>
      <c r="K456">
        <v>660</v>
      </c>
      <c r="L456">
        <f t="shared" si="7"/>
        <v>0</v>
      </c>
      <c r="M456">
        <f>+IF(DailyData[[#This Row],[Column1]]&gt;0,DailyData[[#This Row],[Column1]]-L443,0)</f>
        <v>0</v>
      </c>
      <c r="N456" s="1">
        <f>+IF(DailyData[[#This Row],[Column2]]=0,0,DailyData[[#This Row],[Date]])</f>
        <v>0</v>
      </c>
    </row>
    <row r="457" spans="3:14" x14ac:dyDescent="0.25">
      <c r="C457" s="1">
        <v>45884</v>
      </c>
      <c r="D457" s="2" t="s">
        <v>20</v>
      </c>
      <c r="E457">
        <v>0</v>
      </c>
      <c r="F457">
        <v>36.21</v>
      </c>
      <c r="G457">
        <v>36.96</v>
      </c>
      <c r="H457">
        <v>36.06</v>
      </c>
      <c r="I457">
        <v>36.81</v>
      </c>
      <c r="J457">
        <v>8705967</v>
      </c>
      <c r="K457">
        <v>0</v>
      </c>
      <c r="L457">
        <f t="shared" si="7"/>
        <v>0</v>
      </c>
      <c r="M457">
        <f>+IF(DailyData[[#This Row],[Column1]]&gt;0,DailyData[[#This Row],[Column1]]-L444,0)</f>
        <v>0</v>
      </c>
      <c r="N457" s="1">
        <f>+IF(DailyData[[#This Row],[Column2]]=0,0,DailyData[[#This Row],[Date]])</f>
        <v>0</v>
      </c>
    </row>
    <row r="458" spans="3:14" x14ac:dyDescent="0.25">
      <c r="C458" s="1">
        <v>45884</v>
      </c>
      <c r="D458" s="2" t="s">
        <v>21</v>
      </c>
      <c r="E458">
        <v>1288</v>
      </c>
      <c r="F458">
        <v>26.98</v>
      </c>
      <c r="G458">
        <v>26.98</v>
      </c>
      <c r="H458">
        <v>26.67</v>
      </c>
      <c r="I458">
        <v>26.82</v>
      </c>
      <c r="J458">
        <v>3340376</v>
      </c>
      <c r="K458">
        <v>34544.160000000003</v>
      </c>
      <c r="L458">
        <f t="shared" si="7"/>
        <v>1032004.92</v>
      </c>
      <c r="M458">
        <f>+IF(DailyData[[#This Row],[Column1]]&gt;0,DailyData[[#This Row],[Column1]]-L445,0)</f>
        <v>18526.360000000102</v>
      </c>
      <c r="N458" s="1">
        <f>+IF(DailyData[[#This Row],[Column2]]=0,0,DailyData[[#This Row],[Date]])</f>
        <v>45884</v>
      </c>
    </row>
    <row r="459" spans="3:14" x14ac:dyDescent="0.25">
      <c r="C459" s="1">
        <v>45887</v>
      </c>
      <c r="D459" s="2" t="s">
        <v>9</v>
      </c>
      <c r="E459">
        <v>153181</v>
      </c>
      <c r="F459">
        <v>0.89</v>
      </c>
      <c r="G459">
        <v>0.95</v>
      </c>
      <c r="H459">
        <v>0.88500000000000001</v>
      </c>
      <c r="I459">
        <v>0.94499999999999995</v>
      </c>
      <c r="J459">
        <v>8113500</v>
      </c>
      <c r="K459">
        <v>144756.04</v>
      </c>
      <c r="L459">
        <f t="shared" si="7"/>
        <v>0</v>
      </c>
      <c r="M459">
        <f>+IF(DailyData[[#This Row],[Column1]]&gt;0,DailyData[[#This Row],[Column1]]-L446,0)</f>
        <v>0</v>
      </c>
      <c r="N459" s="1">
        <f>+IF(DailyData[[#This Row],[Column2]]=0,0,DailyData[[#This Row],[Date]])</f>
        <v>0</v>
      </c>
    </row>
    <row r="460" spans="3:14" x14ac:dyDescent="0.25">
      <c r="C460" s="1">
        <v>45887</v>
      </c>
      <c r="D460" s="2" t="s">
        <v>10</v>
      </c>
      <c r="E460">
        <v>70000</v>
      </c>
      <c r="F460">
        <v>1.8149999999999999</v>
      </c>
      <c r="G460">
        <v>1.825</v>
      </c>
      <c r="H460">
        <v>1.77</v>
      </c>
      <c r="I460">
        <v>1.77</v>
      </c>
      <c r="J460">
        <v>5043523</v>
      </c>
      <c r="K460">
        <v>123900</v>
      </c>
      <c r="L460">
        <f t="shared" si="7"/>
        <v>0</v>
      </c>
      <c r="M460">
        <f>+IF(DailyData[[#This Row],[Column1]]&gt;0,DailyData[[#This Row],[Column1]]-L447,0)</f>
        <v>0</v>
      </c>
      <c r="N460" s="1">
        <f>+IF(DailyData[[#This Row],[Column2]]=0,0,DailyData[[#This Row],[Date]])</f>
        <v>0</v>
      </c>
    </row>
    <row r="461" spans="3:14" x14ac:dyDescent="0.25">
      <c r="C461" s="1">
        <v>45887</v>
      </c>
      <c r="D461" s="2" t="s">
        <v>11</v>
      </c>
      <c r="E461">
        <v>57458</v>
      </c>
      <c r="F461">
        <v>0.57499999999999996</v>
      </c>
      <c r="G461">
        <v>0.58499999999999996</v>
      </c>
      <c r="H461">
        <v>0.56499999999999995</v>
      </c>
      <c r="I461">
        <v>0.57999999999999996</v>
      </c>
      <c r="J461">
        <v>857312</v>
      </c>
      <c r="K461">
        <v>33325.64</v>
      </c>
      <c r="L461">
        <f t="shared" si="7"/>
        <v>0</v>
      </c>
      <c r="M461">
        <f>+IF(DailyData[[#This Row],[Column1]]&gt;0,DailyData[[#This Row],[Column1]]-L448,0)</f>
        <v>0</v>
      </c>
      <c r="N461" s="1">
        <f>+IF(DailyData[[#This Row],[Column2]]=0,0,DailyData[[#This Row],[Date]])</f>
        <v>0</v>
      </c>
    </row>
    <row r="462" spans="3:14" x14ac:dyDescent="0.25">
      <c r="C462" s="1">
        <v>45887</v>
      </c>
      <c r="D462" s="2" t="s">
        <v>12</v>
      </c>
      <c r="E462">
        <v>16361</v>
      </c>
      <c r="F462">
        <v>41.77</v>
      </c>
      <c r="G462">
        <v>41.935000000000002</v>
      </c>
      <c r="H462">
        <v>41.45</v>
      </c>
      <c r="I462">
        <v>41.47</v>
      </c>
      <c r="J462">
        <v>5271204</v>
      </c>
      <c r="K462">
        <v>678490.69</v>
      </c>
      <c r="L462">
        <f t="shared" si="7"/>
        <v>0</v>
      </c>
      <c r="M462">
        <f>+IF(DailyData[[#This Row],[Column1]]&gt;0,DailyData[[#This Row],[Column1]]-L449,0)</f>
        <v>0</v>
      </c>
      <c r="N462" s="1">
        <f>+IF(DailyData[[#This Row],[Column2]]=0,0,DailyData[[#This Row],[Date]])</f>
        <v>0</v>
      </c>
    </row>
    <row r="463" spans="3:14" x14ac:dyDescent="0.25">
      <c r="C463" s="1">
        <v>45887</v>
      </c>
      <c r="D463" s="2" t="s">
        <v>13</v>
      </c>
      <c r="E463">
        <v>44090</v>
      </c>
      <c r="F463">
        <v>1.4E-2</v>
      </c>
      <c r="G463">
        <v>1.4E-2</v>
      </c>
      <c r="H463">
        <v>1.4E-2</v>
      </c>
      <c r="I463">
        <v>1.4E-2</v>
      </c>
      <c r="J463">
        <v>515268</v>
      </c>
      <c r="K463">
        <v>617.26</v>
      </c>
      <c r="L463">
        <f t="shared" si="7"/>
        <v>0</v>
      </c>
      <c r="M463">
        <f>+IF(DailyData[[#This Row],[Column1]]&gt;0,DailyData[[#This Row],[Column1]]-L450,0)</f>
        <v>0</v>
      </c>
      <c r="N463" s="1">
        <f>+IF(DailyData[[#This Row],[Column2]]=0,0,DailyData[[#This Row],[Date]])</f>
        <v>0</v>
      </c>
    </row>
    <row r="464" spans="3:14" x14ac:dyDescent="0.25">
      <c r="C464" s="1">
        <v>45887</v>
      </c>
      <c r="D464" s="2" t="s">
        <v>14</v>
      </c>
      <c r="E464">
        <v>0</v>
      </c>
      <c r="F464">
        <v>168.33</v>
      </c>
      <c r="G464">
        <v>170.31</v>
      </c>
      <c r="H464">
        <v>168.12</v>
      </c>
      <c r="I464">
        <v>170.19</v>
      </c>
      <c r="J464">
        <v>1664555</v>
      </c>
      <c r="K464">
        <v>0</v>
      </c>
      <c r="L464">
        <f t="shared" si="7"/>
        <v>0</v>
      </c>
      <c r="M464">
        <f>+IF(DailyData[[#This Row],[Column1]]&gt;0,DailyData[[#This Row],[Column1]]-L451,0)</f>
        <v>0</v>
      </c>
      <c r="N464" s="1">
        <f>+IF(DailyData[[#This Row],[Column2]]=0,0,DailyData[[#This Row],[Date]])</f>
        <v>0</v>
      </c>
    </row>
    <row r="465" spans="3:14" x14ac:dyDescent="0.25">
      <c r="C465" s="1">
        <v>45887</v>
      </c>
      <c r="D465" s="2" t="s">
        <v>15</v>
      </c>
      <c r="E465">
        <v>10000</v>
      </c>
      <c r="F465">
        <v>0.34</v>
      </c>
      <c r="G465">
        <v>0.34499999999999997</v>
      </c>
      <c r="H465">
        <v>0.33</v>
      </c>
      <c r="I465">
        <v>0.34</v>
      </c>
      <c r="J465">
        <v>145050</v>
      </c>
      <c r="K465">
        <v>3400</v>
      </c>
      <c r="L465">
        <f t="shared" ref="L465:L528" si="8">+IF(C466&lt;&gt;C465,SUM(K453:K465),0)</f>
        <v>0</v>
      </c>
      <c r="M465">
        <f>+IF(DailyData[[#This Row],[Column1]]&gt;0,DailyData[[#This Row],[Column1]]-L452,0)</f>
        <v>0</v>
      </c>
      <c r="N465" s="1">
        <f>+IF(DailyData[[#This Row],[Column2]]=0,0,DailyData[[#This Row],[Date]])</f>
        <v>0</v>
      </c>
    </row>
    <row r="466" spans="3:14" x14ac:dyDescent="0.25">
      <c r="C466" s="1">
        <v>45887</v>
      </c>
      <c r="D466" s="2" t="s">
        <v>16</v>
      </c>
      <c r="E466">
        <v>20000</v>
      </c>
      <c r="F466">
        <v>0.3</v>
      </c>
      <c r="G466">
        <v>0.315</v>
      </c>
      <c r="H466">
        <v>0.28999999999999998</v>
      </c>
      <c r="I466">
        <v>0.315</v>
      </c>
      <c r="J466">
        <v>208589</v>
      </c>
      <c r="K466">
        <v>6300</v>
      </c>
      <c r="L466">
        <f t="shared" si="8"/>
        <v>0</v>
      </c>
      <c r="M466">
        <f>+IF(DailyData[[#This Row],[Column1]]&gt;0,DailyData[[#This Row],[Column1]]-L453,0)</f>
        <v>0</v>
      </c>
      <c r="N466" s="1">
        <f>+IF(DailyData[[#This Row],[Column2]]=0,0,DailyData[[#This Row],[Date]])</f>
        <v>0</v>
      </c>
    </row>
    <row r="467" spans="3:14" x14ac:dyDescent="0.25">
      <c r="C467" s="1">
        <v>45887</v>
      </c>
      <c r="D467" s="2" t="s">
        <v>17</v>
      </c>
      <c r="E467">
        <v>700000</v>
      </c>
      <c r="F467">
        <v>2E-3</v>
      </c>
      <c r="G467">
        <v>2E-3</v>
      </c>
      <c r="H467">
        <v>2E-3</v>
      </c>
      <c r="I467">
        <v>2E-3</v>
      </c>
      <c r="J467">
        <v>1321373</v>
      </c>
      <c r="K467">
        <v>1750</v>
      </c>
      <c r="L467">
        <f t="shared" si="8"/>
        <v>0</v>
      </c>
      <c r="M467">
        <f>+IF(DailyData[[#This Row],[Column1]]&gt;0,DailyData[[#This Row],[Column1]]-L454,0)</f>
        <v>0</v>
      </c>
      <c r="N467" s="1">
        <f>+IF(DailyData[[#This Row],[Column2]]=0,0,DailyData[[#This Row],[Date]])</f>
        <v>0</v>
      </c>
    </row>
    <row r="468" spans="3:14" x14ac:dyDescent="0.25">
      <c r="C468" s="1">
        <v>45887</v>
      </c>
      <c r="D468" s="2" t="s">
        <v>18</v>
      </c>
      <c r="E468">
        <v>9412</v>
      </c>
      <c r="F468">
        <v>0.36</v>
      </c>
      <c r="G468">
        <v>0.36</v>
      </c>
      <c r="H468">
        <v>0.34499999999999997</v>
      </c>
      <c r="I468">
        <v>0.35499999999999998</v>
      </c>
      <c r="J468">
        <v>168042</v>
      </c>
      <c r="K468">
        <v>3341.26</v>
      </c>
      <c r="L468">
        <f t="shared" si="8"/>
        <v>0</v>
      </c>
      <c r="M468">
        <f>+IF(DailyData[[#This Row],[Column1]]&gt;0,DailyData[[#This Row],[Column1]]-L455,0)</f>
        <v>0</v>
      </c>
      <c r="N468" s="1">
        <f>+IF(DailyData[[#This Row],[Column2]]=0,0,DailyData[[#This Row],[Date]])</f>
        <v>0</v>
      </c>
    </row>
    <row r="469" spans="3:14" x14ac:dyDescent="0.25">
      <c r="C469" s="1">
        <v>45887</v>
      </c>
      <c r="D469" s="2" t="s">
        <v>19</v>
      </c>
      <c r="E469">
        <v>6000</v>
      </c>
      <c r="F469">
        <v>0.115</v>
      </c>
      <c r="G469">
        <v>0.15</v>
      </c>
      <c r="H469">
        <v>0.115</v>
      </c>
      <c r="I469">
        <v>0.14000000000000001</v>
      </c>
      <c r="J469">
        <v>1850545</v>
      </c>
      <c r="K469">
        <v>840</v>
      </c>
      <c r="L469">
        <f t="shared" si="8"/>
        <v>0</v>
      </c>
      <c r="M469">
        <f>+IF(DailyData[[#This Row],[Column1]]&gt;0,DailyData[[#This Row],[Column1]]-L456,0)</f>
        <v>0</v>
      </c>
      <c r="N469" s="1">
        <f>+IF(DailyData[[#This Row],[Column2]]=0,0,DailyData[[#This Row],[Date]])</f>
        <v>0</v>
      </c>
    </row>
    <row r="470" spans="3:14" x14ac:dyDescent="0.25">
      <c r="C470" s="1">
        <v>45887</v>
      </c>
      <c r="D470" s="2" t="s">
        <v>20</v>
      </c>
      <c r="E470">
        <v>0</v>
      </c>
      <c r="F470">
        <v>36.479999999999997</v>
      </c>
      <c r="G470">
        <v>37.19</v>
      </c>
      <c r="H470">
        <v>36.450000000000003</v>
      </c>
      <c r="I470">
        <v>37.07</v>
      </c>
      <c r="J470">
        <v>5577079</v>
      </c>
      <c r="K470">
        <v>0</v>
      </c>
      <c r="L470">
        <f t="shared" si="8"/>
        <v>0</v>
      </c>
      <c r="M470">
        <f>+IF(DailyData[[#This Row],[Column1]]&gt;0,DailyData[[#This Row],[Column1]]-L457,0)</f>
        <v>0</v>
      </c>
      <c r="N470" s="1">
        <f>+IF(DailyData[[#This Row],[Column2]]=0,0,DailyData[[#This Row],[Date]])</f>
        <v>0</v>
      </c>
    </row>
    <row r="471" spans="3:14" x14ac:dyDescent="0.25">
      <c r="C471" s="1">
        <v>45887</v>
      </c>
      <c r="D471" s="2" t="s">
        <v>21</v>
      </c>
      <c r="E471">
        <v>1288</v>
      </c>
      <c r="F471">
        <v>26.75</v>
      </c>
      <c r="G471">
        <v>26.9</v>
      </c>
      <c r="H471">
        <v>26.62</v>
      </c>
      <c r="I471">
        <v>26.89</v>
      </c>
      <c r="J471">
        <v>3368216</v>
      </c>
      <c r="K471">
        <v>34634.32</v>
      </c>
      <c r="L471">
        <f t="shared" si="8"/>
        <v>1031355.21</v>
      </c>
      <c r="M471">
        <f>+IF(DailyData[[#This Row],[Column1]]&gt;0,DailyData[[#This Row],[Column1]]-L458,0)</f>
        <v>-649.71000000007916</v>
      </c>
      <c r="N471" s="1">
        <f>+IF(DailyData[[#This Row],[Column2]]=0,0,DailyData[[#This Row],[Date]])</f>
        <v>45887</v>
      </c>
    </row>
    <row r="472" spans="3:14" x14ac:dyDescent="0.25">
      <c r="C472" s="1">
        <v>45888</v>
      </c>
      <c r="D472" s="2" t="s">
        <v>9</v>
      </c>
      <c r="E472">
        <v>153181</v>
      </c>
      <c r="F472">
        <v>0.93500000000000005</v>
      </c>
      <c r="G472">
        <v>0.94499999999999995</v>
      </c>
      <c r="H472">
        <v>0.91500000000000004</v>
      </c>
      <c r="I472">
        <v>0.93</v>
      </c>
      <c r="J472">
        <v>3370892</v>
      </c>
      <c r="K472">
        <v>142458.32999999999</v>
      </c>
      <c r="L472">
        <f t="shared" si="8"/>
        <v>0</v>
      </c>
      <c r="M472">
        <f>+IF(DailyData[[#This Row],[Column1]]&gt;0,DailyData[[#This Row],[Column1]]-L459,0)</f>
        <v>0</v>
      </c>
      <c r="N472" s="1">
        <f>+IF(DailyData[[#This Row],[Column2]]=0,0,DailyData[[#This Row],[Date]])</f>
        <v>0</v>
      </c>
    </row>
    <row r="473" spans="3:14" x14ac:dyDescent="0.25">
      <c r="C473" s="1">
        <v>45888</v>
      </c>
      <c r="D473" s="2" t="s">
        <v>10</v>
      </c>
      <c r="E473">
        <v>70000</v>
      </c>
      <c r="F473">
        <v>1.7649999999999999</v>
      </c>
      <c r="G473">
        <v>1.77</v>
      </c>
      <c r="H473">
        <v>1.7470000000000001</v>
      </c>
      <c r="I473">
        <v>1.77</v>
      </c>
      <c r="J473">
        <v>3203783</v>
      </c>
      <c r="K473">
        <v>123900</v>
      </c>
      <c r="L473">
        <f t="shared" si="8"/>
        <v>0</v>
      </c>
      <c r="M473">
        <f>+IF(DailyData[[#This Row],[Column1]]&gt;0,DailyData[[#This Row],[Column1]]-L460,0)</f>
        <v>0</v>
      </c>
      <c r="N473" s="1">
        <f>+IF(DailyData[[#This Row],[Column2]]=0,0,DailyData[[#This Row],[Date]])</f>
        <v>0</v>
      </c>
    </row>
    <row r="474" spans="3:14" x14ac:dyDescent="0.25">
      <c r="C474" s="1">
        <v>45888</v>
      </c>
      <c r="D474" s="2" t="s">
        <v>11</v>
      </c>
      <c r="E474">
        <v>57458</v>
      </c>
      <c r="F474">
        <v>0.57499999999999996</v>
      </c>
      <c r="G474">
        <v>0.58199999999999996</v>
      </c>
      <c r="H474">
        <v>0.56999999999999995</v>
      </c>
      <c r="I474">
        <v>0.57499999999999996</v>
      </c>
      <c r="J474">
        <v>649010</v>
      </c>
      <c r="K474">
        <v>33038.35</v>
      </c>
      <c r="L474">
        <f t="shared" si="8"/>
        <v>0</v>
      </c>
      <c r="M474">
        <f>+IF(DailyData[[#This Row],[Column1]]&gt;0,DailyData[[#This Row],[Column1]]-L461,0)</f>
        <v>0</v>
      </c>
      <c r="N474" s="1">
        <f>+IF(DailyData[[#This Row],[Column2]]=0,0,DailyData[[#This Row],[Date]])</f>
        <v>0</v>
      </c>
    </row>
    <row r="475" spans="3:14" x14ac:dyDescent="0.25">
      <c r="C475" s="1">
        <v>45888</v>
      </c>
      <c r="D475" s="2" t="s">
        <v>12</v>
      </c>
      <c r="E475">
        <v>16361</v>
      </c>
      <c r="F475">
        <v>41.6</v>
      </c>
      <c r="G475">
        <v>42.25</v>
      </c>
      <c r="H475">
        <v>41.34</v>
      </c>
      <c r="I475">
        <v>42.12</v>
      </c>
      <c r="J475">
        <v>10003525</v>
      </c>
      <c r="K475">
        <v>689125.3</v>
      </c>
      <c r="L475">
        <f t="shared" si="8"/>
        <v>0</v>
      </c>
      <c r="M475">
        <f>+IF(DailyData[[#This Row],[Column1]]&gt;0,DailyData[[#This Row],[Column1]]-L462,0)</f>
        <v>0</v>
      </c>
      <c r="N475" s="1">
        <f>+IF(DailyData[[#This Row],[Column2]]=0,0,DailyData[[#This Row],[Date]])</f>
        <v>0</v>
      </c>
    </row>
    <row r="476" spans="3:14" x14ac:dyDescent="0.25">
      <c r="C476" s="1">
        <v>45888</v>
      </c>
      <c r="D476" s="2" t="s">
        <v>13</v>
      </c>
      <c r="E476">
        <v>44090</v>
      </c>
      <c r="F476">
        <v>1.4999999999999999E-2</v>
      </c>
      <c r="G476">
        <v>1.4999999999999999E-2</v>
      </c>
      <c r="H476">
        <v>1.4E-2</v>
      </c>
      <c r="I476">
        <v>1.4E-2</v>
      </c>
      <c r="J476">
        <v>723329</v>
      </c>
      <c r="K476">
        <v>617.26</v>
      </c>
      <c r="L476">
        <f t="shared" si="8"/>
        <v>0</v>
      </c>
      <c r="M476">
        <f>+IF(DailyData[[#This Row],[Column1]]&gt;0,DailyData[[#This Row],[Column1]]-L463,0)</f>
        <v>0</v>
      </c>
      <c r="N476" s="1">
        <f>+IF(DailyData[[#This Row],[Column2]]=0,0,DailyData[[#This Row],[Date]])</f>
        <v>0</v>
      </c>
    </row>
    <row r="477" spans="3:14" x14ac:dyDescent="0.25">
      <c r="C477" s="1">
        <v>45888</v>
      </c>
      <c r="D477" s="2" t="s">
        <v>14</v>
      </c>
      <c r="E477">
        <v>0</v>
      </c>
      <c r="F477">
        <v>171.2</v>
      </c>
      <c r="G477">
        <v>171.83</v>
      </c>
      <c r="H477">
        <v>170.22</v>
      </c>
      <c r="I477">
        <v>171.05</v>
      </c>
      <c r="J477">
        <v>2161338</v>
      </c>
      <c r="K477">
        <v>0</v>
      </c>
      <c r="L477">
        <f t="shared" si="8"/>
        <v>0</v>
      </c>
      <c r="M477">
        <f>+IF(DailyData[[#This Row],[Column1]]&gt;0,DailyData[[#This Row],[Column1]]-L464,0)</f>
        <v>0</v>
      </c>
      <c r="N477" s="1">
        <f>+IF(DailyData[[#This Row],[Column2]]=0,0,DailyData[[#This Row],[Date]])</f>
        <v>0</v>
      </c>
    </row>
    <row r="478" spans="3:14" x14ac:dyDescent="0.25">
      <c r="C478" s="1">
        <v>45888</v>
      </c>
      <c r="D478" s="2" t="s">
        <v>15</v>
      </c>
      <c r="E478">
        <v>10000</v>
      </c>
      <c r="F478">
        <v>0.34</v>
      </c>
      <c r="G478">
        <v>0.34499999999999997</v>
      </c>
      <c r="H478">
        <v>0.33</v>
      </c>
      <c r="I478">
        <v>0.34</v>
      </c>
      <c r="J478">
        <v>94182</v>
      </c>
      <c r="K478">
        <v>3400</v>
      </c>
      <c r="L478">
        <f t="shared" si="8"/>
        <v>0</v>
      </c>
      <c r="M478">
        <f>+IF(DailyData[[#This Row],[Column1]]&gt;0,DailyData[[#This Row],[Column1]]-L465,0)</f>
        <v>0</v>
      </c>
      <c r="N478" s="1">
        <f>+IF(DailyData[[#This Row],[Column2]]=0,0,DailyData[[#This Row],[Date]])</f>
        <v>0</v>
      </c>
    </row>
    <row r="479" spans="3:14" x14ac:dyDescent="0.25">
      <c r="C479" s="1">
        <v>45888</v>
      </c>
      <c r="D479" s="2" t="s">
        <v>16</v>
      </c>
      <c r="E479">
        <v>20000</v>
      </c>
      <c r="F479">
        <v>0.315</v>
      </c>
      <c r="G479">
        <v>0.33500000000000002</v>
      </c>
      <c r="H479">
        <v>0.30499999999999999</v>
      </c>
      <c r="I479">
        <v>0.33500000000000002</v>
      </c>
      <c r="J479">
        <v>377628</v>
      </c>
      <c r="K479">
        <v>6700</v>
      </c>
      <c r="L479">
        <f t="shared" si="8"/>
        <v>0</v>
      </c>
      <c r="M479">
        <f>+IF(DailyData[[#This Row],[Column1]]&gt;0,DailyData[[#This Row],[Column1]]-L466,0)</f>
        <v>0</v>
      </c>
      <c r="N479" s="1">
        <f>+IF(DailyData[[#This Row],[Column2]]=0,0,DailyData[[#This Row],[Date]])</f>
        <v>0</v>
      </c>
    </row>
    <row r="480" spans="3:14" x14ac:dyDescent="0.25">
      <c r="C480" s="1">
        <v>45888</v>
      </c>
      <c r="D480" s="2" t="s">
        <v>17</v>
      </c>
      <c r="E480">
        <v>700000</v>
      </c>
      <c r="F480">
        <v>2E-3</v>
      </c>
      <c r="G480">
        <v>2E-3</v>
      </c>
      <c r="H480">
        <v>2E-3</v>
      </c>
      <c r="I480">
        <v>2E-3</v>
      </c>
      <c r="J480">
        <v>3716953</v>
      </c>
      <c r="K480">
        <v>1400</v>
      </c>
      <c r="L480">
        <f t="shared" si="8"/>
        <v>0</v>
      </c>
      <c r="M480">
        <f>+IF(DailyData[[#This Row],[Column1]]&gt;0,DailyData[[#This Row],[Column1]]-L467,0)</f>
        <v>0</v>
      </c>
      <c r="N480" s="1">
        <f>+IF(DailyData[[#This Row],[Column2]]=0,0,DailyData[[#This Row],[Date]])</f>
        <v>0</v>
      </c>
    </row>
    <row r="481" spans="3:14" x14ac:dyDescent="0.25">
      <c r="C481" s="1">
        <v>45888</v>
      </c>
      <c r="D481" s="2" t="s">
        <v>18</v>
      </c>
      <c r="E481">
        <v>9412</v>
      </c>
      <c r="F481">
        <v>0.35</v>
      </c>
      <c r="G481">
        <v>0.36</v>
      </c>
      <c r="H481">
        <v>0.33500000000000002</v>
      </c>
      <c r="I481">
        <v>0.33500000000000002</v>
      </c>
      <c r="J481">
        <v>197796</v>
      </c>
      <c r="K481">
        <v>3153.02</v>
      </c>
      <c r="L481">
        <f t="shared" si="8"/>
        <v>0</v>
      </c>
      <c r="M481">
        <f>+IF(DailyData[[#This Row],[Column1]]&gt;0,DailyData[[#This Row],[Column1]]-L468,0)</f>
        <v>0</v>
      </c>
      <c r="N481" s="1">
        <f>+IF(DailyData[[#This Row],[Column2]]=0,0,DailyData[[#This Row],[Date]])</f>
        <v>0</v>
      </c>
    </row>
    <row r="482" spans="3:14" x14ac:dyDescent="0.25">
      <c r="C482" s="1">
        <v>45888</v>
      </c>
      <c r="D482" s="2" t="s">
        <v>19</v>
      </c>
      <c r="E482">
        <v>6000</v>
      </c>
      <c r="F482">
        <v>0.14000000000000001</v>
      </c>
      <c r="G482">
        <v>0.14000000000000001</v>
      </c>
      <c r="H482">
        <v>0.14000000000000001</v>
      </c>
      <c r="I482">
        <v>0.14000000000000001</v>
      </c>
      <c r="J482">
        <v>0</v>
      </c>
      <c r="K482">
        <v>840</v>
      </c>
      <c r="L482">
        <f t="shared" si="8"/>
        <v>0</v>
      </c>
      <c r="M482">
        <f>+IF(DailyData[[#This Row],[Column1]]&gt;0,DailyData[[#This Row],[Column1]]-L469,0)</f>
        <v>0</v>
      </c>
      <c r="N482" s="1">
        <f>+IF(DailyData[[#This Row],[Column2]]=0,0,DailyData[[#This Row],[Date]])</f>
        <v>0</v>
      </c>
    </row>
    <row r="483" spans="3:14" x14ac:dyDescent="0.25">
      <c r="C483" s="1">
        <v>45888</v>
      </c>
      <c r="D483" s="2" t="s">
        <v>20</v>
      </c>
      <c r="E483">
        <v>0</v>
      </c>
      <c r="F483">
        <v>37</v>
      </c>
      <c r="G483">
        <v>37.31</v>
      </c>
      <c r="H483">
        <v>36.92</v>
      </c>
      <c r="I483">
        <v>37.31</v>
      </c>
      <c r="J483">
        <v>6504782</v>
      </c>
      <c r="K483">
        <v>0</v>
      </c>
      <c r="L483">
        <f t="shared" si="8"/>
        <v>0</v>
      </c>
      <c r="M483">
        <f>+IF(DailyData[[#This Row],[Column1]]&gt;0,DailyData[[#This Row],[Column1]]-L470,0)</f>
        <v>0</v>
      </c>
      <c r="N483" s="1">
        <f>+IF(DailyData[[#This Row],[Column2]]=0,0,DailyData[[#This Row],[Date]])</f>
        <v>0</v>
      </c>
    </row>
    <row r="484" spans="3:14" x14ac:dyDescent="0.25">
      <c r="C484" s="1">
        <v>45888</v>
      </c>
      <c r="D484" s="2" t="s">
        <v>21</v>
      </c>
      <c r="E484">
        <v>1288</v>
      </c>
      <c r="F484">
        <v>26.75</v>
      </c>
      <c r="G484">
        <v>27.15</v>
      </c>
      <c r="H484">
        <v>26.02</v>
      </c>
      <c r="I484">
        <v>26.14</v>
      </c>
      <c r="J484">
        <v>6129915</v>
      </c>
      <c r="K484">
        <v>33668.32</v>
      </c>
      <c r="L484">
        <f t="shared" si="8"/>
        <v>1038300.58</v>
      </c>
      <c r="M484">
        <f>+IF(DailyData[[#This Row],[Column1]]&gt;0,DailyData[[#This Row],[Column1]]-L471,0)</f>
        <v>6945.3699999999953</v>
      </c>
      <c r="N484" s="1">
        <f>+IF(DailyData[[#This Row],[Column2]]=0,0,DailyData[[#This Row],[Date]])</f>
        <v>45888</v>
      </c>
    </row>
    <row r="485" spans="3:14" x14ac:dyDescent="0.25">
      <c r="C485" s="1">
        <v>45889</v>
      </c>
      <c r="D485" s="2" t="s">
        <v>9</v>
      </c>
      <c r="E485">
        <v>153181</v>
      </c>
      <c r="F485">
        <v>0.91</v>
      </c>
      <c r="G485">
        <v>0.92300000000000004</v>
      </c>
      <c r="H485">
        <v>0.875</v>
      </c>
      <c r="I485">
        <v>0.91</v>
      </c>
      <c r="J485">
        <v>4206572</v>
      </c>
      <c r="K485">
        <v>139394.71</v>
      </c>
      <c r="L485">
        <f t="shared" si="8"/>
        <v>0</v>
      </c>
      <c r="M485">
        <f>+IF(DailyData[[#This Row],[Column1]]&gt;0,DailyData[[#This Row],[Column1]]-L472,0)</f>
        <v>0</v>
      </c>
      <c r="N485" s="1">
        <f>+IF(DailyData[[#This Row],[Column2]]=0,0,DailyData[[#This Row],[Date]])</f>
        <v>0</v>
      </c>
    </row>
    <row r="486" spans="3:14" x14ac:dyDescent="0.25">
      <c r="C486" s="1">
        <v>45889</v>
      </c>
      <c r="D486" s="2" t="s">
        <v>10</v>
      </c>
      <c r="E486">
        <v>70000</v>
      </c>
      <c r="F486">
        <v>1.78</v>
      </c>
      <c r="G486">
        <v>1.79</v>
      </c>
      <c r="H486">
        <v>1.7549999999999999</v>
      </c>
      <c r="I486">
        <v>1.77</v>
      </c>
      <c r="J486">
        <v>5286258</v>
      </c>
      <c r="K486">
        <v>123900</v>
      </c>
      <c r="L486">
        <f t="shared" si="8"/>
        <v>0</v>
      </c>
      <c r="M486">
        <f>+IF(DailyData[[#This Row],[Column1]]&gt;0,DailyData[[#This Row],[Column1]]-L473,0)</f>
        <v>0</v>
      </c>
      <c r="N486" s="1">
        <f>+IF(DailyData[[#This Row],[Column2]]=0,0,DailyData[[#This Row],[Date]])</f>
        <v>0</v>
      </c>
    </row>
    <row r="487" spans="3:14" x14ac:dyDescent="0.25">
      <c r="C487" s="1">
        <v>45889</v>
      </c>
      <c r="D487" s="2" t="s">
        <v>11</v>
      </c>
      <c r="E487">
        <v>57458</v>
      </c>
      <c r="F487">
        <v>0.57499999999999996</v>
      </c>
      <c r="G487">
        <v>0.57999999999999996</v>
      </c>
      <c r="H487">
        <v>0.55500000000000005</v>
      </c>
      <c r="I487">
        <v>0.56000000000000005</v>
      </c>
      <c r="J487">
        <v>826900</v>
      </c>
      <c r="K487">
        <v>32176.48</v>
      </c>
      <c r="L487">
        <f t="shared" si="8"/>
        <v>0</v>
      </c>
      <c r="M487">
        <f>+IF(DailyData[[#This Row],[Column1]]&gt;0,DailyData[[#This Row],[Column1]]-L474,0)</f>
        <v>0</v>
      </c>
      <c r="N487" s="1">
        <f>+IF(DailyData[[#This Row],[Column2]]=0,0,DailyData[[#This Row],[Date]])</f>
        <v>0</v>
      </c>
    </row>
    <row r="488" spans="3:14" x14ac:dyDescent="0.25">
      <c r="C488" s="1">
        <v>45889</v>
      </c>
      <c r="D488" s="2" t="s">
        <v>12</v>
      </c>
      <c r="E488">
        <v>16361</v>
      </c>
      <c r="F488">
        <v>41.39</v>
      </c>
      <c r="G488">
        <v>42.05</v>
      </c>
      <c r="H488">
        <v>40.9</v>
      </c>
      <c r="I488">
        <v>41.75</v>
      </c>
      <c r="J488">
        <v>10296580</v>
      </c>
      <c r="K488">
        <v>683071.75</v>
      </c>
      <c r="L488">
        <f t="shared" si="8"/>
        <v>0</v>
      </c>
      <c r="M488">
        <f>+IF(DailyData[[#This Row],[Column1]]&gt;0,DailyData[[#This Row],[Column1]]-L475,0)</f>
        <v>0</v>
      </c>
      <c r="N488" s="1">
        <f>+IF(DailyData[[#This Row],[Column2]]=0,0,DailyData[[#This Row],[Date]])</f>
        <v>0</v>
      </c>
    </row>
    <row r="489" spans="3:14" x14ac:dyDescent="0.25">
      <c r="C489" s="1">
        <v>45889</v>
      </c>
      <c r="D489" s="2" t="s">
        <v>13</v>
      </c>
      <c r="E489">
        <v>44090</v>
      </c>
      <c r="F489">
        <v>1.4999999999999999E-2</v>
      </c>
      <c r="G489">
        <v>1.4999999999999999E-2</v>
      </c>
      <c r="H489">
        <v>1.4E-2</v>
      </c>
      <c r="I489">
        <v>1.4E-2</v>
      </c>
      <c r="J489">
        <v>515289</v>
      </c>
      <c r="K489">
        <v>617.26</v>
      </c>
      <c r="L489">
        <f t="shared" si="8"/>
        <v>0</v>
      </c>
      <c r="M489">
        <f>+IF(DailyData[[#This Row],[Column1]]&gt;0,DailyData[[#This Row],[Column1]]-L476,0)</f>
        <v>0</v>
      </c>
      <c r="N489" s="1">
        <f>+IF(DailyData[[#This Row],[Column2]]=0,0,DailyData[[#This Row],[Date]])</f>
        <v>0</v>
      </c>
    </row>
    <row r="490" spans="3:14" x14ac:dyDescent="0.25">
      <c r="C490" s="1">
        <v>45889</v>
      </c>
      <c r="D490" s="2" t="s">
        <v>14</v>
      </c>
      <c r="E490">
        <v>0</v>
      </c>
      <c r="F490">
        <v>169.01</v>
      </c>
      <c r="G490">
        <v>174.14</v>
      </c>
      <c r="H490">
        <v>168.96</v>
      </c>
      <c r="I490">
        <v>172.4</v>
      </c>
      <c r="J490">
        <v>3195377</v>
      </c>
      <c r="K490">
        <v>0</v>
      </c>
      <c r="L490">
        <f t="shared" si="8"/>
        <v>0</v>
      </c>
      <c r="M490">
        <f>+IF(DailyData[[#This Row],[Column1]]&gt;0,DailyData[[#This Row],[Column1]]-L477,0)</f>
        <v>0</v>
      </c>
      <c r="N490" s="1">
        <f>+IF(DailyData[[#This Row],[Column2]]=0,0,DailyData[[#This Row],[Date]])</f>
        <v>0</v>
      </c>
    </row>
    <row r="491" spans="3:14" x14ac:dyDescent="0.25">
      <c r="C491" s="1">
        <v>45889</v>
      </c>
      <c r="D491" s="2" t="s">
        <v>15</v>
      </c>
      <c r="E491">
        <v>10000</v>
      </c>
      <c r="F491">
        <v>0.34</v>
      </c>
      <c r="G491">
        <v>0.34</v>
      </c>
      <c r="H491">
        <v>0.31</v>
      </c>
      <c r="I491">
        <v>0.32</v>
      </c>
      <c r="J491">
        <v>620231</v>
      </c>
      <c r="K491">
        <v>3200</v>
      </c>
      <c r="L491">
        <f t="shared" si="8"/>
        <v>0</v>
      </c>
      <c r="M491">
        <f>+IF(DailyData[[#This Row],[Column1]]&gt;0,DailyData[[#This Row],[Column1]]-L478,0)</f>
        <v>0</v>
      </c>
      <c r="N491" s="1">
        <f>+IF(DailyData[[#This Row],[Column2]]=0,0,DailyData[[#This Row],[Date]])</f>
        <v>0</v>
      </c>
    </row>
    <row r="492" spans="3:14" x14ac:dyDescent="0.25">
      <c r="C492" s="1">
        <v>45889</v>
      </c>
      <c r="D492" s="2" t="s">
        <v>16</v>
      </c>
      <c r="E492">
        <v>20000</v>
      </c>
      <c r="F492">
        <v>0.33500000000000002</v>
      </c>
      <c r="G492">
        <v>0.33500000000000002</v>
      </c>
      <c r="H492">
        <v>0.30499999999999999</v>
      </c>
      <c r="I492">
        <v>0.31</v>
      </c>
      <c r="J492">
        <v>138005</v>
      </c>
      <c r="K492">
        <v>6200</v>
      </c>
      <c r="L492">
        <f t="shared" si="8"/>
        <v>0</v>
      </c>
      <c r="M492">
        <f>+IF(DailyData[[#This Row],[Column1]]&gt;0,DailyData[[#This Row],[Column1]]-L479,0)</f>
        <v>0</v>
      </c>
      <c r="N492" s="1">
        <f>+IF(DailyData[[#This Row],[Column2]]=0,0,DailyData[[#This Row],[Date]])</f>
        <v>0</v>
      </c>
    </row>
    <row r="493" spans="3:14" x14ac:dyDescent="0.25">
      <c r="C493" s="1">
        <v>45889</v>
      </c>
      <c r="D493" s="2" t="s">
        <v>17</v>
      </c>
      <c r="E493">
        <v>700000</v>
      </c>
      <c r="F493">
        <v>2E-3</v>
      </c>
      <c r="G493">
        <v>3.0000000000000001E-3</v>
      </c>
      <c r="H493">
        <v>2E-3</v>
      </c>
      <c r="I493">
        <v>2E-3</v>
      </c>
      <c r="J493">
        <v>39228446</v>
      </c>
      <c r="K493">
        <v>1400</v>
      </c>
      <c r="L493">
        <f t="shared" si="8"/>
        <v>0</v>
      </c>
      <c r="M493">
        <f>+IF(DailyData[[#This Row],[Column1]]&gt;0,DailyData[[#This Row],[Column1]]-L480,0)</f>
        <v>0</v>
      </c>
      <c r="N493" s="1">
        <f>+IF(DailyData[[#This Row],[Column2]]=0,0,DailyData[[#This Row],[Date]])</f>
        <v>0</v>
      </c>
    </row>
    <row r="494" spans="3:14" x14ac:dyDescent="0.25">
      <c r="C494" s="1">
        <v>45889</v>
      </c>
      <c r="D494" s="2" t="s">
        <v>18</v>
      </c>
      <c r="E494">
        <v>9412</v>
      </c>
      <c r="F494">
        <v>0.33500000000000002</v>
      </c>
      <c r="G494">
        <v>0.34</v>
      </c>
      <c r="H494">
        <v>0.33</v>
      </c>
      <c r="I494">
        <v>0.33</v>
      </c>
      <c r="J494">
        <v>514387</v>
      </c>
      <c r="K494">
        <v>3105.96</v>
      </c>
      <c r="L494">
        <f t="shared" si="8"/>
        <v>0</v>
      </c>
      <c r="M494">
        <f>+IF(DailyData[[#This Row],[Column1]]&gt;0,DailyData[[#This Row],[Column1]]-L481,0)</f>
        <v>0</v>
      </c>
      <c r="N494" s="1">
        <f>+IF(DailyData[[#This Row],[Column2]]=0,0,DailyData[[#This Row],[Date]])</f>
        <v>0</v>
      </c>
    </row>
    <row r="495" spans="3:14" x14ac:dyDescent="0.25">
      <c r="C495" s="1">
        <v>45889</v>
      </c>
      <c r="D495" s="2" t="s">
        <v>19</v>
      </c>
      <c r="E495">
        <v>6000</v>
      </c>
      <c r="F495">
        <v>0.14000000000000001</v>
      </c>
      <c r="G495">
        <v>0.14000000000000001</v>
      </c>
      <c r="H495">
        <v>0.14000000000000001</v>
      </c>
      <c r="I495">
        <v>0.14000000000000001</v>
      </c>
      <c r="J495">
        <v>0</v>
      </c>
      <c r="K495">
        <v>840</v>
      </c>
      <c r="L495">
        <f t="shared" si="8"/>
        <v>0</v>
      </c>
      <c r="M495">
        <f>+IF(DailyData[[#This Row],[Column1]]&gt;0,DailyData[[#This Row],[Column1]]-L482,0)</f>
        <v>0</v>
      </c>
      <c r="N495" s="1">
        <f>+IF(DailyData[[#This Row],[Column2]]=0,0,DailyData[[#This Row],[Date]])</f>
        <v>0</v>
      </c>
    </row>
    <row r="496" spans="3:14" x14ac:dyDescent="0.25">
      <c r="C496" s="1">
        <v>45889</v>
      </c>
      <c r="D496" s="2" t="s">
        <v>20</v>
      </c>
      <c r="E496">
        <v>0</v>
      </c>
      <c r="F496">
        <v>37.67</v>
      </c>
      <c r="G496">
        <v>38.47</v>
      </c>
      <c r="H496">
        <v>37.369999999999997</v>
      </c>
      <c r="I496">
        <v>38.229999999999997</v>
      </c>
      <c r="J496">
        <v>6769311</v>
      </c>
      <c r="K496">
        <v>0</v>
      </c>
      <c r="L496">
        <f t="shared" si="8"/>
        <v>0</v>
      </c>
      <c r="M496">
        <f>+IF(DailyData[[#This Row],[Column1]]&gt;0,DailyData[[#This Row],[Column1]]-L483,0)</f>
        <v>0</v>
      </c>
      <c r="N496" s="1">
        <f>+IF(DailyData[[#This Row],[Column2]]=0,0,DailyData[[#This Row],[Date]])</f>
        <v>0</v>
      </c>
    </row>
    <row r="497" spans="3:14" x14ac:dyDescent="0.25">
      <c r="C497" s="1">
        <v>45889</v>
      </c>
      <c r="D497" s="2" t="s">
        <v>21</v>
      </c>
      <c r="E497">
        <v>1288</v>
      </c>
      <c r="F497">
        <v>26.18</v>
      </c>
      <c r="G497">
        <v>26.3</v>
      </c>
      <c r="H497">
        <v>25.7</v>
      </c>
      <c r="I497">
        <v>26.16</v>
      </c>
      <c r="J497">
        <v>5564965</v>
      </c>
      <c r="K497">
        <v>33694.080000000002</v>
      </c>
      <c r="L497">
        <f t="shared" si="8"/>
        <v>1027600.2399999999</v>
      </c>
      <c r="M497">
        <f>+IF(DailyData[[#This Row],[Column1]]&gt;0,DailyData[[#This Row],[Column1]]-L484,0)</f>
        <v>-10700.340000000084</v>
      </c>
      <c r="N497" s="1">
        <f>+IF(DailyData[[#This Row],[Column2]]=0,0,DailyData[[#This Row],[Date]])</f>
        <v>45889</v>
      </c>
    </row>
    <row r="498" spans="3:14" x14ac:dyDescent="0.25">
      <c r="C498" s="1">
        <v>45890</v>
      </c>
      <c r="D498" s="2" t="s">
        <v>9</v>
      </c>
      <c r="E498">
        <v>153181</v>
      </c>
      <c r="F498">
        <v>0.89500000000000002</v>
      </c>
      <c r="G498">
        <v>0.93300000000000005</v>
      </c>
      <c r="H498">
        <v>0.89500000000000002</v>
      </c>
      <c r="I498">
        <v>0.92500000000000004</v>
      </c>
      <c r="J498">
        <v>3428558</v>
      </c>
      <c r="K498">
        <v>141692.43</v>
      </c>
      <c r="L498">
        <f t="shared" si="8"/>
        <v>0</v>
      </c>
      <c r="M498">
        <f>+IF(DailyData[[#This Row],[Column1]]&gt;0,DailyData[[#This Row],[Column1]]-L485,0)</f>
        <v>0</v>
      </c>
      <c r="N498" s="1">
        <f>+IF(DailyData[[#This Row],[Column2]]=0,0,DailyData[[#This Row],[Date]])</f>
        <v>0</v>
      </c>
    </row>
    <row r="499" spans="3:14" x14ac:dyDescent="0.25">
      <c r="C499" s="1">
        <v>45890</v>
      </c>
      <c r="D499" s="2" t="s">
        <v>10</v>
      </c>
      <c r="E499">
        <v>70000</v>
      </c>
      <c r="F499">
        <v>1.76</v>
      </c>
      <c r="G499">
        <v>1.77</v>
      </c>
      <c r="H499">
        <v>1.742</v>
      </c>
      <c r="I499">
        <v>1.75</v>
      </c>
      <c r="J499">
        <v>6697104</v>
      </c>
      <c r="K499">
        <v>122500</v>
      </c>
      <c r="L499">
        <f t="shared" si="8"/>
        <v>0</v>
      </c>
      <c r="M499">
        <f>+IF(DailyData[[#This Row],[Column1]]&gt;0,DailyData[[#This Row],[Column1]]-L486,0)</f>
        <v>0</v>
      </c>
      <c r="N499" s="1">
        <f>+IF(DailyData[[#This Row],[Column2]]=0,0,DailyData[[#This Row],[Date]])</f>
        <v>0</v>
      </c>
    </row>
    <row r="500" spans="3:14" x14ac:dyDescent="0.25">
      <c r="C500" s="1">
        <v>45890</v>
      </c>
      <c r="D500" s="2" t="s">
        <v>11</v>
      </c>
      <c r="E500">
        <v>57458</v>
      </c>
      <c r="F500">
        <v>0.56999999999999995</v>
      </c>
      <c r="G500">
        <v>0.57999999999999996</v>
      </c>
      <c r="H500">
        <v>0.55500000000000005</v>
      </c>
      <c r="I500">
        <v>0.57499999999999996</v>
      </c>
      <c r="J500">
        <v>349234</v>
      </c>
      <c r="K500">
        <v>33038.35</v>
      </c>
      <c r="L500">
        <f t="shared" si="8"/>
        <v>0</v>
      </c>
      <c r="M500">
        <f>+IF(DailyData[[#This Row],[Column1]]&gt;0,DailyData[[#This Row],[Column1]]-L487,0)</f>
        <v>0</v>
      </c>
      <c r="N500" s="1">
        <f>+IF(DailyData[[#This Row],[Column2]]=0,0,DailyData[[#This Row],[Date]])</f>
        <v>0</v>
      </c>
    </row>
    <row r="501" spans="3:14" x14ac:dyDescent="0.25">
      <c r="C501" s="1">
        <v>45890</v>
      </c>
      <c r="D501" s="2" t="s">
        <v>12</v>
      </c>
      <c r="E501">
        <v>16361</v>
      </c>
      <c r="F501">
        <v>41.9</v>
      </c>
      <c r="G501">
        <v>42.12</v>
      </c>
      <c r="H501">
        <v>41.68</v>
      </c>
      <c r="I501">
        <v>42.06</v>
      </c>
      <c r="J501">
        <v>9435127</v>
      </c>
      <c r="K501">
        <v>688143.68</v>
      </c>
      <c r="L501">
        <f t="shared" si="8"/>
        <v>0</v>
      </c>
      <c r="M501">
        <f>+IF(DailyData[[#This Row],[Column1]]&gt;0,DailyData[[#This Row],[Column1]]-L488,0)</f>
        <v>0</v>
      </c>
      <c r="N501" s="1">
        <f>+IF(DailyData[[#This Row],[Column2]]=0,0,DailyData[[#This Row],[Date]])</f>
        <v>0</v>
      </c>
    </row>
    <row r="502" spans="3:14" x14ac:dyDescent="0.25">
      <c r="C502" s="1">
        <v>45890</v>
      </c>
      <c r="D502" s="2" t="s">
        <v>13</v>
      </c>
      <c r="E502">
        <v>44090</v>
      </c>
      <c r="F502">
        <v>1.4E-2</v>
      </c>
      <c r="G502">
        <v>1.4999999999999999E-2</v>
      </c>
      <c r="H502">
        <v>1.2999999999999999E-2</v>
      </c>
      <c r="I502">
        <v>1.4999999999999999E-2</v>
      </c>
      <c r="J502">
        <v>894764</v>
      </c>
      <c r="K502">
        <v>661.35</v>
      </c>
      <c r="L502">
        <f t="shared" si="8"/>
        <v>0</v>
      </c>
      <c r="M502">
        <f>+IF(DailyData[[#This Row],[Column1]]&gt;0,DailyData[[#This Row],[Column1]]-L489,0)</f>
        <v>0</v>
      </c>
      <c r="N502" s="1">
        <f>+IF(DailyData[[#This Row],[Column2]]=0,0,DailyData[[#This Row],[Date]])</f>
        <v>0</v>
      </c>
    </row>
    <row r="503" spans="3:14" x14ac:dyDescent="0.25">
      <c r="C503" s="1">
        <v>45890</v>
      </c>
      <c r="D503" s="2" t="s">
        <v>14</v>
      </c>
      <c r="E503">
        <v>0</v>
      </c>
      <c r="F503">
        <v>174.23</v>
      </c>
      <c r="G503">
        <v>174.4</v>
      </c>
      <c r="H503">
        <v>172.03</v>
      </c>
      <c r="I503">
        <v>173.8</v>
      </c>
      <c r="J503">
        <v>2274857</v>
      </c>
      <c r="K503">
        <v>0</v>
      </c>
      <c r="L503">
        <f t="shared" si="8"/>
        <v>0</v>
      </c>
      <c r="M503">
        <f>+IF(DailyData[[#This Row],[Column1]]&gt;0,DailyData[[#This Row],[Column1]]-L490,0)</f>
        <v>0</v>
      </c>
      <c r="N503" s="1">
        <f>+IF(DailyData[[#This Row],[Column2]]=0,0,DailyData[[#This Row],[Date]])</f>
        <v>0</v>
      </c>
    </row>
    <row r="504" spans="3:14" x14ac:dyDescent="0.25">
      <c r="C504" s="1">
        <v>45890</v>
      </c>
      <c r="D504" s="2" t="s">
        <v>15</v>
      </c>
      <c r="E504">
        <v>10000</v>
      </c>
      <c r="F504">
        <v>0.32</v>
      </c>
      <c r="G504">
        <v>0.32500000000000001</v>
      </c>
      <c r="H504">
        <v>0.30499999999999999</v>
      </c>
      <c r="I504">
        <v>0.32500000000000001</v>
      </c>
      <c r="J504">
        <v>201235</v>
      </c>
      <c r="K504">
        <v>3250</v>
      </c>
      <c r="L504">
        <f t="shared" si="8"/>
        <v>0</v>
      </c>
      <c r="M504">
        <f>+IF(DailyData[[#This Row],[Column1]]&gt;0,DailyData[[#This Row],[Column1]]-L491,0)</f>
        <v>0</v>
      </c>
      <c r="N504" s="1">
        <f>+IF(DailyData[[#This Row],[Column2]]=0,0,DailyData[[#This Row],[Date]])</f>
        <v>0</v>
      </c>
    </row>
    <row r="505" spans="3:14" x14ac:dyDescent="0.25">
      <c r="C505" s="1">
        <v>45890</v>
      </c>
      <c r="D505" s="2" t="s">
        <v>16</v>
      </c>
      <c r="E505">
        <v>20000</v>
      </c>
      <c r="F505">
        <v>0.31</v>
      </c>
      <c r="G505">
        <v>0.31</v>
      </c>
      <c r="H505">
        <v>0.28999999999999998</v>
      </c>
      <c r="I505">
        <v>0.31</v>
      </c>
      <c r="J505">
        <v>418223</v>
      </c>
      <c r="K505">
        <v>6200</v>
      </c>
      <c r="L505">
        <f t="shared" si="8"/>
        <v>0</v>
      </c>
      <c r="M505">
        <f>+IF(DailyData[[#This Row],[Column1]]&gt;0,DailyData[[#This Row],[Column1]]-L492,0)</f>
        <v>0</v>
      </c>
      <c r="N505" s="1">
        <f>+IF(DailyData[[#This Row],[Column2]]=0,0,DailyData[[#This Row],[Date]])</f>
        <v>0</v>
      </c>
    </row>
    <row r="506" spans="3:14" x14ac:dyDescent="0.25">
      <c r="C506" s="1">
        <v>45890</v>
      </c>
      <c r="D506" s="2" t="s">
        <v>17</v>
      </c>
      <c r="E506">
        <v>700000</v>
      </c>
      <c r="F506">
        <v>2E-3</v>
      </c>
      <c r="G506">
        <v>3.0000000000000001E-3</v>
      </c>
      <c r="H506">
        <v>2E-3</v>
      </c>
      <c r="I506">
        <v>2E-3</v>
      </c>
      <c r="J506">
        <v>1400041</v>
      </c>
      <c r="K506">
        <v>1400</v>
      </c>
      <c r="L506">
        <f t="shared" si="8"/>
        <v>0</v>
      </c>
      <c r="M506">
        <f>+IF(DailyData[[#This Row],[Column1]]&gt;0,DailyData[[#This Row],[Column1]]-L493,0)</f>
        <v>0</v>
      </c>
      <c r="N506" s="1">
        <f>+IF(DailyData[[#This Row],[Column2]]=0,0,DailyData[[#This Row],[Date]])</f>
        <v>0</v>
      </c>
    </row>
    <row r="507" spans="3:14" x14ac:dyDescent="0.25">
      <c r="C507" s="1">
        <v>45890</v>
      </c>
      <c r="D507" s="2" t="s">
        <v>18</v>
      </c>
      <c r="E507">
        <v>9412</v>
      </c>
      <c r="F507">
        <v>0.33</v>
      </c>
      <c r="G507">
        <v>0.34</v>
      </c>
      <c r="H507">
        <v>0.315</v>
      </c>
      <c r="I507">
        <v>0.32</v>
      </c>
      <c r="J507">
        <v>578378</v>
      </c>
      <c r="K507">
        <v>3011.84</v>
      </c>
      <c r="L507">
        <f t="shared" si="8"/>
        <v>0</v>
      </c>
      <c r="M507">
        <f>+IF(DailyData[[#This Row],[Column1]]&gt;0,DailyData[[#This Row],[Column1]]-L494,0)</f>
        <v>0</v>
      </c>
      <c r="N507" s="1">
        <f>+IF(DailyData[[#This Row],[Column2]]=0,0,DailyData[[#This Row],[Date]])</f>
        <v>0</v>
      </c>
    </row>
    <row r="508" spans="3:14" x14ac:dyDescent="0.25">
      <c r="C508" s="1">
        <v>45890</v>
      </c>
      <c r="D508" s="2" t="s">
        <v>19</v>
      </c>
      <c r="E508">
        <v>6000</v>
      </c>
      <c r="F508">
        <v>0.14000000000000001</v>
      </c>
      <c r="G508">
        <v>0.14000000000000001</v>
      </c>
      <c r="H508">
        <v>0.14000000000000001</v>
      </c>
      <c r="I508">
        <v>0.14000000000000001</v>
      </c>
      <c r="J508">
        <v>0</v>
      </c>
      <c r="K508">
        <v>840</v>
      </c>
      <c r="L508">
        <f t="shared" si="8"/>
        <v>0</v>
      </c>
      <c r="M508">
        <f>+IF(DailyData[[#This Row],[Column1]]&gt;0,DailyData[[#This Row],[Column1]]-L495,0)</f>
        <v>0</v>
      </c>
      <c r="N508" s="1">
        <f>+IF(DailyData[[#This Row],[Column2]]=0,0,DailyData[[#This Row],[Date]])</f>
        <v>0</v>
      </c>
    </row>
    <row r="509" spans="3:14" x14ac:dyDescent="0.25">
      <c r="C509" s="1">
        <v>45890</v>
      </c>
      <c r="D509" s="2" t="s">
        <v>20</v>
      </c>
      <c r="E509">
        <v>0</v>
      </c>
      <c r="F509">
        <v>38.64</v>
      </c>
      <c r="G509">
        <v>38.799999999999997</v>
      </c>
      <c r="H509">
        <v>38.174999999999997</v>
      </c>
      <c r="I509">
        <v>38.729999999999997</v>
      </c>
      <c r="J509">
        <v>7668347</v>
      </c>
      <c r="K509">
        <v>0</v>
      </c>
      <c r="L509">
        <f t="shared" si="8"/>
        <v>0</v>
      </c>
      <c r="M509">
        <f>+IF(DailyData[[#This Row],[Column1]]&gt;0,DailyData[[#This Row],[Column1]]-L496,0)</f>
        <v>0</v>
      </c>
      <c r="N509" s="1">
        <f>+IF(DailyData[[#This Row],[Column2]]=0,0,DailyData[[#This Row],[Date]])</f>
        <v>0</v>
      </c>
    </row>
    <row r="510" spans="3:14" x14ac:dyDescent="0.25">
      <c r="C510" s="1">
        <v>45890</v>
      </c>
      <c r="D510" s="2" t="s">
        <v>21</v>
      </c>
      <c r="E510">
        <v>1288</v>
      </c>
      <c r="F510">
        <v>26.4</v>
      </c>
      <c r="G510">
        <v>26.65</v>
      </c>
      <c r="H510">
        <v>26.17</v>
      </c>
      <c r="I510">
        <v>26.51</v>
      </c>
      <c r="J510">
        <v>5045052</v>
      </c>
      <c r="K510">
        <v>34144.879999999997</v>
      </c>
      <c r="L510">
        <f t="shared" si="8"/>
        <v>1034882.5299999999</v>
      </c>
      <c r="M510">
        <f>+IF(DailyData[[#This Row],[Column1]]&gt;0,DailyData[[#This Row],[Column1]]-L497,0)</f>
        <v>7282.2900000000373</v>
      </c>
      <c r="N510" s="1">
        <f>+IF(DailyData[[#This Row],[Column2]]=0,0,DailyData[[#This Row],[Date]])</f>
        <v>45890</v>
      </c>
    </row>
    <row r="511" spans="3:14" x14ac:dyDescent="0.25">
      <c r="C511" s="1">
        <v>45891</v>
      </c>
      <c r="D511" s="2" t="s">
        <v>9</v>
      </c>
      <c r="E511">
        <v>153181</v>
      </c>
      <c r="F511">
        <v>0.93</v>
      </c>
      <c r="G511">
        <v>0.95499999999999996</v>
      </c>
      <c r="H511">
        <v>0.91</v>
      </c>
      <c r="I511">
        <v>0.91500000000000004</v>
      </c>
      <c r="J511">
        <v>5180393</v>
      </c>
      <c r="K511">
        <v>140160.62</v>
      </c>
      <c r="L511">
        <f t="shared" si="8"/>
        <v>0</v>
      </c>
      <c r="M511">
        <f>+IF(DailyData[[#This Row],[Column1]]&gt;0,DailyData[[#This Row],[Column1]]-L498,0)</f>
        <v>0</v>
      </c>
      <c r="N511" s="1">
        <f>+IF(DailyData[[#This Row],[Column2]]=0,0,DailyData[[#This Row],[Date]])</f>
        <v>0</v>
      </c>
    </row>
    <row r="512" spans="3:14" x14ac:dyDescent="0.25">
      <c r="C512" s="1">
        <v>45891</v>
      </c>
      <c r="D512" s="2" t="s">
        <v>10</v>
      </c>
      <c r="E512">
        <v>70000</v>
      </c>
      <c r="F512">
        <v>1.75</v>
      </c>
      <c r="G512">
        <v>1.7549999999999999</v>
      </c>
      <c r="H512">
        <v>1.73</v>
      </c>
      <c r="I512">
        <v>1.7350000000000001</v>
      </c>
      <c r="J512">
        <v>6221820</v>
      </c>
      <c r="K512">
        <v>121450</v>
      </c>
      <c r="L512">
        <f t="shared" si="8"/>
        <v>0</v>
      </c>
      <c r="M512">
        <f>+IF(DailyData[[#This Row],[Column1]]&gt;0,DailyData[[#This Row],[Column1]]-L499,0)</f>
        <v>0</v>
      </c>
      <c r="N512" s="1">
        <f>+IF(DailyData[[#This Row],[Column2]]=0,0,DailyData[[#This Row],[Date]])</f>
        <v>0</v>
      </c>
    </row>
    <row r="513" spans="3:14" x14ac:dyDescent="0.25">
      <c r="C513" s="1">
        <v>45891</v>
      </c>
      <c r="D513" s="2" t="s">
        <v>11</v>
      </c>
      <c r="E513">
        <v>57458</v>
      </c>
      <c r="F513">
        <v>0.56499999999999995</v>
      </c>
      <c r="G513">
        <v>0.58499999999999996</v>
      </c>
      <c r="H513">
        <v>0.56499999999999995</v>
      </c>
      <c r="I513">
        <v>0.56999999999999995</v>
      </c>
      <c r="J513">
        <v>516764</v>
      </c>
      <c r="K513">
        <v>32751.06</v>
      </c>
      <c r="L513">
        <f t="shared" si="8"/>
        <v>0</v>
      </c>
      <c r="M513">
        <f>+IF(DailyData[[#This Row],[Column1]]&gt;0,DailyData[[#This Row],[Column1]]-L500,0)</f>
        <v>0</v>
      </c>
      <c r="N513" s="1">
        <f>+IF(DailyData[[#This Row],[Column2]]=0,0,DailyData[[#This Row],[Date]])</f>
        <v>0</v>
      </c>
    </row>
    <row r="514" spans="3:14" x14ac:dyDescent="0.25">
      <c r="C514" s="1">
        <v>45891</v>
      </c>
      <c r="D514" s="2" t="s">
        <v>12</v>
      </c>
      <c r="E514">
        <v>16361</v>
      </c>
      <c r="F514">
        <v>42.66</v>
      </c>
      <c r="G514">
        <v>42.81</v>
      </c>
      <c r="H514">
        <v>42</v>
      </c>
      <c r="I514">
        <v>42</v>
      </c>
      <c r="J514">
        <v>13494593</v>
      </c>
      <c r="K514">
        <v>687162</v>
      </c>
      <c r="L514">
        <f t="shared" si="8"/>
        <v>0</v>
      </c>
      <c r="M514">
        <f>+IF(DailyData[[#This Row],[Column1]]&gt;0,DailyData[[#This Row],[Column1]]-L501,0)</f>
        <v>0</v>
      </c>
      <c r="N514" s="1">
        <f>+IF(DailyData[[#This Row],[Column2]]=0,0,DailyData[[#This Row],[Date]])</f>
        <v>0</v>
      </c>
    </row>
    <row r="515" spans="3:14" x14ac:dyDescent="0.25">
      <c r="C515" s="1">
        <v>45891</v>
      </c>
      <c r="D515" s="2" t="s">
        <v>13</v>
      </c>
      <c r="E515">
        <v>44090</v>
      </c>
      <c r="F515">
        <v>1.4E-2</v>
      </c>
      <c r="G515">
        <v>1.4E-2</v>
      </c>
      <c r="H515">
        <v>1.4E-2</v>
      </c>
      <c r="I515">
        <v>1.4E-2</v>
      </c>
      <c r="J515">
        <v>680060</v>
      </c>
      <c r="K515">
        <v>617.26</v>
      </c>
      <c r="L515">
        <f t="shared" si="8"/>
        <v>0</v>
      </c>
      <c r="M515">
        <f>+IF(DailyData[[#This Row],[Column1]]&gt;0,DailyData[[#This Row],[Column1]]-L502,0)</f>
        <v>0</v>
      </c>
      <c r="N515" s="1">
        <f>+IF(DailyData[[#This Row],[Column2]]=0,0,DailyData[[#This Row],[Date]])</f>
        <v>0</v>
      </c>
    </row>
    <row r="516" spans="3:14" x14ac:dyDescent="0.25">
      <c r="C516" s="1">
        <v>45891</v>
      </c>
      <c r="D516" s="2" t="s">
        <v>14</v>
      </c>
      <c r="E516">
        <v>0</v>
      </c>
      <c r="F516">
        <v>173.67</v>
      </c>
      <c r="G516">
        <v>174.5</v>
      </c>
      <c r="H516">
        <v>172.5</v>
      </c>
      <c r="I516">
        <v>172.84</v>
      </c>
      <c r="J516">
        <v>3023915</v>
      </c>
      <c r="K516">
        <v>0</v>
      </c>
      <c r="L516">
        <f t="shared" si="8"/>
        <v>0</v>
      </c>
      <c r="M516">
        <f>+IF(DailyData[[#This Row],[Column1]]&gt;0,DailyData[[#This Row],[Column1]]-L503,0)</f>
        <v>0</v>
      </c>
      <c r="N516" s="1">
        <f>+IF(DailyData[[#This Row],[Column2]]=0,0,DailyData[[#This Row],[Date]])</f>
        <v>0</v>
      </c>
    </row>
    <row r="517" spans="3:14" x14ac:dyDescent="0.25">
      <c r="C517" s="1">
        <v>45891</v>
      </c>
      <c r="D517" s="2" t="s">
        <v>15</v>
      </c>
      <c r="E517">
        <v>10000</v>
      </c>
      <c r="F517">
        <v>0.33</v>
      </c>
      <c r="G517">
        <v>0.33500000000000002</v>
      </c>
      <c r="H517">
        <v>0.32</v>
      </c>
      <c r="I517">
        <v>0.33</v>
      </c>
      <c r="J517">
        <v>274417</v>
      </c>
      <c r="K517">
        <v>3300</v>
      </c>
      <c r="L517">
        <f t="shared" si="8"/>
        <v>0</v>
      </c>
      <c r="M517">
        <f>+IF(DailyData[[#This Row],[Column1]]&gt;0,DailyData[[#This Row],[Column1]]-L504,0)</f>
        <v>0</v>
      </c>
      <c r="N517" s="1">
        <f>+IF(DailyData[[#This Row],[Column2]]=0,0,DailyData[[#This Row],[Date]])</f>
        <v>0</v>
      </c>
    </row>
    <row r="518" spans="3:14" x14ac:dyDescent="0.25">
      <c r="C518" s="1">
        <v>45891</v>
      </c>
      <c r="D518" s="2" t="s">
        <v>16</v>
      </c>
      <c r="E518">
        <v>20000</v>
      </c>
      <c r="F518">
        <v>0.30499999999999999</v>
      </c>
      <c r="G518">
        <v>0.32</v>
      </c>
      <c r="H518">
        <v>0.3</v>
      </c>
      <c r="I518">
        <v>0.30499999999999999</v>
      </c>
      <c r="J518">
        <v>170055</v>
      </c>
      <c r="K518">
        <v>6100</v>
      </c>
      <c r="L518">
        <f t="shared" si="8"/>
        <v>0</v>
      </c>
      <c r="M518">
        <f>+IF(DailyData[[#This Row],[Column1]]&gt;0,DailyData[[#This Row],[Column1]]-L505,0)</f>
        <v>0</v>
      </c>
      <c r="N518" s="1">
        <f>+IF(DailyData[[#This Row],[Column2]]=0,0,DailyData[[#This Row],[Date]])</f>
        <v>0</v>
      </c>
    </row>
    <row r="519" spans="3:14" x14ac:dyDescent="0.25">
      <c r="C519" s="1">
        <v>45891</v>
      </c>
      <c r="D519" s="2" t="s">
        <v>17</v>
      </c>
      <c r="E519">
        <v>700000</v>
      </c>
      <c r="F519">
        <v>2E-3</v>
      </c>
      <c r="G519">
        <v>3.0000000000000001E-3</v>
      </c>
      <c r="H519">
        <v>2E-3</v>
      </c>
      <c r="I519">
        <v>2E-3</v>
      </c>
      <c r="J519">
        <v>6818366</v>
      </c>
      <c r="K519">
        <v>1400</v>
      </c>
      <c r="L519">
        <f t="shared" si="8"/>
        <v>0</v>
      </c>
      <c r="M519">
        <f>+IF(DailyData[[#This Row],[Column1]]&gt;0,DailyData[[#This Row],[Column1]]-L506,0)</f>
        <v>0</v>
      </c>
      <c r="N519" s="1">
        <f>+IF(DailyData[[#This Row],[Column2]]=0,0,DailyData[[#This Row],[Date]])</f>
        <v>0</v>
      </c>
    </row>
    <row r="520" spans="3:14" x14ac:dyDescent="0.25">
      <c r="C520" s="1">
        <v>45891</v>
      </c>
      <c r="D520" s="2" t="s">
        <v>18</v>
      </c>
      <c r="E520">
        <v>9412</v>
      </c>
      <c r="F520">
        <v>0.315</v>
      </c>
      <c r="G520">
        <v>0.32500000000000001</v>
      </c>
      <c r="H520">
        <v>0.315</v>
      </c>
      <c r="I520">
        <v>0.32</v>
      </c>
      <c r="J520">
        <v>170264</v>
      </c>
      <c r="K520">
        <v>3011.84</v>
      </c>
      <c r="L520">
        <f t="shared" si="8"/>
        <v>0</v>
      </c>
      <c r="M520">
        <f>+IF(DailyData[[#This Row],[Column1]]&gt;0,DailyData[[#This Row],[Column1]]-L507,0)</f>
        <v>0</v>
      </c>
      <c r="N520" s="1">
        <f>+IF(DailyData[[#This Row],[Column2]]=0,0,DailyData[[#This Row],[Date]])</f>
        <v>0</v>
      </c>
    </row>
    <row r="521" spans="3:14" x14ac:dyDescent="0.25">
      <c r="C521" s="1">
        <v>45891</v>
      </c>
      <c r="D521" s="2" t="s">
        <v>19</v>
      </c>
      <c r="E521">
        <v>6000</v>
      </c>
      <c r="F521">
        <v>0.14000000000000001</v>
      </c>
      <c r="G521">
        <v>0.14000000000000001</v>
      </c>
      <c r="H521">
        <v>0.14000000000000001</v>
      </c>
      <c r="I521">
        <v>0.14000000000000001</v>
      </c>
      <c r="J521">
        <v>0</v>
      </c>
      <c r="K521">
        <v>840</v>
      </c>
      <c r="L521">
        <f t="shared" si="8"/>
        <v>0</v>
      </c>
      <c r="M521">
        <f>+IF(DailyData[[#This Row],[Column1]]&gt;0,DailyData[[#This Row],[Column1]]-L508,0)</f>
        <v>0</v>
      </c>
      <c r="N521" s="1">
        <f>+IF(DailyData[[#This Row],[Column2]]=0,0,DailyData[[#This Row],[Date]])</f>
        <v>0</v>
      </c>
    </row>
    <row r="522" spans="3:14" x14ac:dyDescent="0.25">
      <c r="C522" s="1">
        <v>45891</v>
      </c>
      <c r="D522" s="2" t="s">
        <v>20</v>
      </c>
      <c r="E522">
        <v>0</v>
      </c>
      <c r="F522">
        <v>38.71</v>
      </c>
      <c r="G522">
        <v>39.130000000000003</v>
      </c>
      <c r="H522">
        <v>38.64</v>
      </c>
      <c r="I522">
        <v>38.979999999999997</v>
      </c>
      <c r="J522">
        <v>8564878</v>
      </c>
      <c r="K522">
        <v>0</v>
      </c>
      <c r="L522">
        <f t="shared" si="8"/>
        <v>0</v>
      </c>
      <c r="M522">
        <f>+IF(DailyData[[#This Row],[Column1]]&gt;0,DailyData[[#This Row],[Column1]]-L509,0)</f>
        <v>0</v>
      </c>
      <c r="N522" s="1">
        <f>+IF(DailyData[[#This Row],[Column2]]=0,0,DailyData[[#This Row],[Date]])</f>
        <v>0</v>
      </c>
    </row>
    <row r="523" spans="3:14" x14ac:dyDescent="0.25">
      <c r="C523" s="1">
        <v>45891</v>
      </c>
      <c r="D523" s="2" t="s">
        <v>21</v>
      </c>
      <c r="E523">
        <v>1288</v>
      </c>
      <c r="F523">
        <v>26.72</v>
      </c>
      <c r="G523">
        <v>26.9</v>
      </c>
      <c r="H523">
        <v>26.61</v>
      </c>
      <c r="I523">
        <v>26.61</v>
      </c>
      <c r="J523">
        <v>5904830</v>
      </c>
      <c r="K523">
        <v>34273.68</v>
      </c>
      <c r="L523">
        <f t="shared" si="8"/>
        <v>1031066.46</v>
      </c>
      <c r="M523">
        <f>+IF(DailyData[[#This Row],[Column1]]&gt;0,DailyData[[#This Row],[Column1]]-L510,0)</f>
        <v>-3816.0699999999488</v>
      </c>
      <c r="N523" s="1">
        <f>+IF(DailyData[[#This Row],[Column2]]=0,0,DailyData[[#This Row],[Date]])</f>
        <v>45891</v>
      </c>
    </row>
    <row r="524" spans="3:14" x14ac:dyDescent="0.25">
      <c r="C524" s="1">
        <v>45894</v>
      </c>
      <c r="D524" s="2" t="s">
        <v>9</v>
      </c>
      <c r="E524">
        <v>153181</v>
      </c>
      <c r="F524">
        <v>0.95499999999999996</v>
      </c>
      <c r="G524">
        <v>1.02</v>
      </c>
      <c r="H524">
        <v>0.95499999999999996</v>
      </c>
      <c r="I524">
        <v>0.98499999999999999</v>
      </c>
      <c r="J524">
        <v>10467313</v>
      </c>
      <c r="K524">
        <v>150883.29</v>
      </c>
      <c r="L524">
        <f t="shared" si="8"/>
        <v>0</v>
      </c>
      <c r="M524">
        <f>+IF(DailyData[[#This Row],[Column1]]&gt;0,DailyData[[#This Row],[Column1]]-L511,0)</f>
        <v>0</v>
      </c>
      <c r="N524" s="1">
        <f>+IF(DailyData[[#This Row],[Column2]]=0,0,DailyData[[#This Row],[Date]])</f>
        <v>0</v>
      </c>
    </row>
    <row r="525" spans="3:14" x14ac:dyDescent="0.25">
      <c r="C525" s="1">
        <v>45894</v>
      </c>
      <c r="D525" s="2" t="s">
        <v>10</v>
      </c>
      <c r="E525">
        <v>70000</v>
      </c>
      <c r="F525">
        <v>1.75</v>
      </c>
      <c r="G525">
        <v>1.798</v>
      </c>
      <c r="H525">
        <v>1.75</v>
      </c>
      <c r="I525">
        <v>1.76</v>
      </c>
      <c r="J525">
        <v>8113300</v>
      </c>
      <c r="K525">
        <v>123200</v>
      </c>
      <c r="L525">
        <f t="shared" si="8"/>
        <v>0</v>
      </c>
      <c r="M525">
        <f>+IF(DailyData[[#This Row],[Column1]]&gt;0,DailyData[[#This Row],[Column1]]-L512,0)</f>
        <v>0</v>
      </c>
      <c r="N525" s="1">
        <f>+IF(DailyData[[#This Row],[Column2]]=0,0,DailyData[[#This Row],[Date]])</f>
        <v>0</v>
      </c>
    </row>
    <row r="526" spans="3:14" x14ac:dyDescent="0.25">
      <c r="C526" s="1">
        <v>45894</v>
      </c>
      <c r="D526" s="2" t="s">
        <v>11</v>
      </c>
      <c r="E526">
        <v>57458</v>
      </c>
      <c r="F526">
        <v>0.57999999999999996</v>
      </c>
      <c r="G526">
        <v>0.59499999999999997</v>
      </c>
      <c r="H526">
        <v>0.57999999999999996</v>
      </c>
      <c r="I526">
        <v>0.58499999999999996</v>
      </c>
      <c r="J526">
        <v>643036</v>
      </c>
      <c r="K526">
        <v>33612.93</v>
      </c>
      <c r="L526">
        <f t="shared" si="8"/>
        <v>0</v>
      </c>
      <c r="M526">
        <f>+IF(DailyData[[#This Row],[Column1]]&gt;0,DailyData[[#This Row],[Column1]]-L513,0)</f>
        <v>0</v>
      </c>
      <c r="N526" s="1">
        <f>+IF(DailyData[[#This Row],[Column2]]=0,0,DailyData[[#This Row],[Date]])</f>
        <v>0</v>
      </c>
    </row>
    <row r="527" spans="3:14" x14ac:dyDescent="0.25">
      <c r="C527" s="1">
        <v>45894</v>
      </c>
      <c r="D527" s="2" t="s">
        <v>12</v>
      </c>
      <c r="E527">
        <v>16361</v>
      </c>
      <c r="F527">
        <v>42.9</v>
      </c>
      <c r="G527">
        <v>43.34</v>
      </c>
      <c r="H527">
        <v>42.82</v>
      </c>
      <c r="I527">
        <v>43.14</v>
      </c>
      <c r="J527">
        <v>9440006</v>
      </c>
      <c r="K527">
        <v>705813.53</v>
      </c>
      <c r="L527">
        <f t="shared" si="8"/>
        <v>0</v>
      </c>
      <c r="M527">
        <f>+IF(DailyData[[#This Row],[Column1]]&gt;0,DailyData[[#This Row],[Column1]]-L514,0)</f>
        <v>0</v>
      </c>
      <c r="N527" s="1">
        <f>+IF(DailyData[[#This Row],[Column2]]=0,0,DailyData[[#This Row],[Date]])</f>
        <v>0</v>
      </c>
    </row>
    <row r="528" spans="3:14" x14ac:dyDescent="0.25">
      <c r="C528" s="1">
        <v>45894</v>
      </c>
      <c r="D528" s="2" t="s">
        <v>13</v>
      </c>
      <c r="E528">
        <v>44090</v>
      </c>
      <c r="F528">
        <v>1.2999999999999999E-2</v>
      </c>
      <c r="G528">
        <v>1.4E-2</v>
      </c>
      <c r="H528">
        <v>1.2E-2</v>
      </c>
      <c r="I528">
        <v>1.2E-2</v>
      </c>
      <c r="J528">
        <v>3498634</v>
      </c>
      <c r="K528">
        <v>529.08000000000004</v>
      </c>
      <c r="L528">
        <f t="shared" si="8"/>
        <v>0</v>
      </c>
      <c r="M528">
        <f>+IF(DailyData[[#This Row],[Column1]]&gt;0,DailyData[[#This Row],[Column1]]-L515,0)</f>
        <v>0</v>
      </c>
      <c r="N528" s="1">
        <f>+IF(DailyData[[#This Row],[Column2]]=0,0,DailyData[[#This Row],[Date]])</f>
        <v>0</v>
      </c>
    </row>
    <row r="529" spans="3:14" x14ac:dyDescent="0.25">
      <c r="C529" s="1">
        <v>45894</v>
      </c>
      <c r="D529" s="2" t="s">
        <v>14</v>
      </c>
      <c r="E529">
        <v>0</v>
      </c>
      <c r="F529">
        <v>173.95</v>
      </c>
      <c r="G529">
        <v>174.1</v>
      </c>
      <c r="H529">
        <v>169.3</v>
      </c>
      <c r="I529">
        <v>170.3</v>
      </c>
      <c r="J529">
        <v>2121993</v>
      </c>
      <c r="K529">
        <v>0</v>
      </c>
      <c r="L529">
        <f t="shared" ref="L529:L592" si="9">+IF(C530&lt;&gt;C529,SUM(K517:K529),0)</f>
        <v>0</v>
      </c>
      <c r="M529">
        <f>+IF(DailyData[[#This Row],[Column1]]&gt;0,DailyData[[#This Row],[Column1]]-L516,0)</f>
        <v>0</v>
      </c>
      <c r="N529" s="1">
        <f>+IF(DailyData[[#This Row],[Column2]]=0,0,DailyData[[#This Row],[Date]])</f>
        <v>0</v>
      </c>
    </row>
    <row r="530" spans="3:14" x14ac:dyDescent="0.25">
      <c r="C530" s="1">
        <v>45894</v>
      </c>
      <c r="D530" s="2" t="s">
        <v>15</v>
      </c>
      <c r="E530">
        <v>10000</v>
      </c>
      <c r="F530">
        <v>0.32</v>
      </c>
      <c r="G530">
        <v>0.33500000000000002</v>
      </c>
      <c r="H530">
        <v>0.31</v>
      </c>
      <c r="I530">
        <v>0.31</v>
      </c>
      <c r="J530">
        <v>496481</v>
      </c>
      <c r="K530">
        <v>3100</v>
      </c>
      <c r="L530">
        <f t="shared" si="9"/>
        <v>0</v>
      </c>
      <c r="M530">
        <f>+IF(DailyData[[#This Row],[Column1]]&gt;0,DailyData[[#This Row],[Column1]]-L517,0)</f>
        <v>0</v>
      </c>
      <c r="N530" s="1">
        <f>+IF(DailyData[[#This Row],[Column2]]=0,0,DailyData[[#This Row],[Date]])</f>
        <v>0</v>
      </c>
    </row>
    <row r="531" spans="3:14" x14ac:dyDescent="0.25">
      <c r="C531" s="1">
        <v>45894</v>
      </c>
      <c r="D531" s="2" t="s">
        <v>16</v>
      </c>
      <c r="E531">
        <v>20000</v>
      </c>
      <c r="F531">
        <v>0.30499999999999999</v>
      </c>
      <c r="G531">
        <v>0.32</v>
      </c>
      <c r="H531">
        <v>0.30499999999999999</v>
      </c>
      <c r="I531">
        <v>0.32</v>
      </c>
      <c r="J531">
        <v>144745</v>
      </c>
      <c r="K531">
        <v>6400</v>
      </c>
      <c r="L531">
        <f t="shared" si="9"/>
        <v>0</v>
      </c>
      <c r="M531">
        <f>+IF(DailyData[[#This Row],[Column1]]&gt;0,DailyData[[#This Row],[Column1]]-L518,0)</f>
        <v>0</v>
      </c>
      <c r="N531" s="1">
        <f>+IF(DailyData[[#This Row],[Column2]]=0,0,DailyData[[#This Row],[Date]])</f>
        <v>0</v>
      </c>
    </row>
    <row r="532" spans="3:14" x14ac:dyDescent="0.25">
      <c r="C532" s="1">
        <v>45894</v>
      </c>
      <c r="D532" s="2" t="s">
        <v>17</v>
      </c>
      <c r="E532">
        <v>700000</v>
      </c>
      <c r="F532">
        <v>2E-3</v>
      </c>
      <c r="G532">
        <v>2E-3</v>
      </c>
      <c r="H532">
        <v>2E-3</v>
      </c>
      <c r="I532">
        <v>2E-3</v>
      </c>
      <c r="J532">
        <v>641340</v>
      </c>
      <c r="K532">
        <v>1400</v>
      </c>
      <c r="L532">
        <f t="shared" si="9"/>
        <v>0</v>
      </c>
      <c r="M532">
        <f>+IF(DailyData[[#This Row],[Column1]]&gt;0,DailyData[[#This Row],[Column1]]-L519,0)</f>
        <v>0</v>
      </c>
      <c r="N532" s="1">
        <f>+IF(DailyData[[#This Row],[Column2]]=0,0,DailyData[[#This Row],[Date]])</f>
        <v>0</v>
      </c>
    </row>
    <row r="533" spans="3:14" x14ac:dyDescent="0.25">
      <c r="C533" s="1">
        <v>45894</v>
      </c>
      <c r="D533" s="2" t="s">
        <v>18</v>
      </c>
      <c r="E533">
        <v>9412</v>
      </c>
      <c r="F533">
        <v>0.33</v>
      </c>
      <c r="G533">
        <v>0.35499999999999998</v>
      </c>
      <c r="H533">
        <v>0.32</v>
      </c>
      <c r="I533">
        <v>0.32500000000000001</v>
      </c>
      <c r="J533">
        <v>449834</v>
      </c>
      <c r="K533">
        <v>3058.9</v>
      </c>
      <c r="L533">
        <f t="shared" si="9"/>
        <v>0</v>
      </c>
      <c r="M533">
        <f>+IF(DailyData[[#This Row],[Column1]]&gt;0,DailyData[[#This Row],[Column1]]-L520,0)</f>
        <v>0</v>
      </c>
      <c r="N533" s="1">
        <f>+IF(DailyData[[#This Row],[Column2]]=0,0,DailyData[[#This Row],[Date]])</f>
        <v>0</v>
      </c>
    </row>
    <row r="534" spans="3:14" x14ac:dyDescent="0.25">
      <c r="C534" s="1">
        <v>45894</v>
      </c>
      <c r="D534" s="2" t="s">
        <v>19</v>
      </c>
      <c r="E534">
        <v>6000</v>
      </c>
      <c r="F534">
        <v>0.14499999999999999</v>
      </c>
      <c r="G534">
        <v>0.17</v>
      </c>
      <c r="H534">
        <v>0.13</v>
      </c>
      <c r="I534">
        <v>0.13</v>
      </c>
      <c r="J534">
        <v>1654390</v>
      </c>
      <c r="K534">
        <v>780</v>
      </c>
      <c r="L534">
        <f t="shared" si="9"/>
        <v>0</v>
      </c>
      <c r="M534">
        <f>+IF(DailyData[[#This Row],[Column1]]&gt;0,DailyData[[#This Row],[Column1]]-L521,0)</f>
        <v>0</v>
      </c>
      <c r="N534" s="1">
        <f>+IF(DailyData[[#This Row],[Column2]]=0,0,DailyData[[#This Row],[Date]])</f>
        <v>0</v>
      </c>
    </row>
    <row r="535" spans="3:14" x14ac:dyDescent="0.25">
      <c r="C535" s="1">
        <v>45894</v>
      </c>
      <c r="D535" s="2" t="s">
        <v>20</v>
      </c>
      <c r="E535">
        <v>0</v>
      </c>
      <c r="F535">
        <v>39.15</v>
      </c>
      <c r="G535">
        <v>39.28</v>
      </c>
      <c r="H535">
        <v>38.155000000000001</v>
      </c>
      <c r="I535">
        <v>38.29</v>
      </c>
      <c r="J535">
        <v>7337783</v>
      </c>
      <c r="K535">
        <v>0</v>
      </c>
      <c r="L535">
        <f t="shared" si="9"/>
        <v>0</v>
      </c>
      <c r="M535">
        <f>+IF(DailyData[[#This Row],[Column1]]&gt;0,DailyData[[#This Row],[Column1]]-L522,0)</f>
        <v>0</v>
      </c>
      <c r="N535" s="1">
        <f>+IF(DailyData[[#This Row],[Column2]]=0,0,DailyData[[#This Row],[Date]])</f>
        <v>0</v>
      </c>
    </row>
    <row r="536" spans="3:14" x14ac:dyDescent="0.25">
      <c r="C536" s="1">
        <v>45894</v>
      </c>
      <c r="D536" s="2" t="s">
        <v>21</v>
      </c>
      <c r="E536">
        <v>1288</v>
      </c>
      <c r="F536">
        <v>26.85</v>
      </c>
      <c r="G536">
        <v>27.03</v>
      </c>
      <c r="H536">
        <v>26.75</v>
      </c>
      <c r="I536">
        <v>26.85</v>
      </c>
      <c r="J536">
        <v>5154676</v>
      </c>
      <c r="K536">
        <v>34582.800000000003</v>
      </c>
      <c r="L536">
        <f t="shared" si="9"/>
        <v>1063360.53</v>
      </c>
      <c r="M536">
        <f>+IF(DailyData[[#This Row],[Column1]]&gt;0,DailyData[[#This Row],[Column1]]-L523,0)</f>
        <v>32294.070000000065</v>
      </c>
      <c r="N536" s="1">
        <f>+IF(DailyData[[#This Row],[Column2]]=0,0,DailyData[[#This Row],[Date]])</f>
        <v>45894</v>
      </c>
    </row>
    <row r="537" spans="3:14" x14ac:dyDescent="0.25">
      <c r="C537" s="1">
        <v>45895</v>
      </c>
      <c r="D537" s="2" t="s">
        <v>9</v>
      </c>
      <c r="E537">
        <v>153181</v>
      </c>
      <c r="F537">
        <v>0.97</v>
      </c>
      <c r="G537">
        <v>0.97</v>
      </c>
      <c r="H537">
        <v>0.94499999999999995</v>
      </c>
      <c r="I537">
        <v>0.96499999999999997</v>
      </c>
      <c r="J537">
        <v>6326577</v>
      </c>
      <c r="K537">
        <v>147819.66</v>
      </c>
      <c r="L537">
        <f t="shared" si="9"/>
        <v>0</v>
      </c>
      <c r="M537">
        <f>+IF(DailyData[[#This Row],[Column1]]&gt;0,DailyData[[#This Row],[Column1]]-L524,0)</f>
        <v>0</v>
      </c>
      <c r="N537" s="1">
        <f>+IF(DailyData[[#This Row],[Column2]]=0,0,DailyData[[#This Row],[Date]])</f>
        <v>0</v>
      </c>
    </row>
    <row r="538" spans="3:14" x14ac:dyDescent="0.25">
      <c r="C538" s="1">
        <v>45895</v>
      </c>
      <c r="D538" s="2" t="s">
        <v>10</v>
      </c>
      <c r="E538">
        <v>70000</v>
      </c>
      <c r="F538">
        <v>1.75</v>
      </c>
      <c r="G538">
        <v>1.7649999999999999</v>
      </c>
      <c r="H538">
        <v>1.712</v>
      </c>
      <c r="I538">
        <v>1.72</v>
      </c>
      <c r="J538">
        <v>9721101</v>
      </c>
      <c r="K538">
        <v>120400</v>
      </c>
      <c r="L538">
        <f t="shared" si="9"/>
        <v>0</v>
      </c>
      <c r="M538">
        <f>+IF(DailyData[[#This Row],[Column1]]&gt;0,DailyData[[#This Row],[Column1]]-L525,0)</f>
        <v>0</v>
      </c>
      <c r="N538" s="1">
        <f>+IF(DailyData[[#This Row],[Column2]]=0,0,DailyData[[#This Row],[Date]])</f>
        <v>0</v>
      </c>
    </row>
    <row r="539" spans="3:14" x14ac:dyDescent="0.25">
      <c r="C539" s="1">
        <v>45895</v>
      </c>
      <c r="D539" s="2" t="s">
        <v>11</v>
      </c>
      <c r="E539">
        <v>57458</v>
      </c>
      <c r="F539">
        <v>0.59</v>
      </c>
      <c r="G539">
        <v>0.59199999999999997</v>
      </c>
      <c r="H539">
        <v>0.56499999999999995</v>
      </c>
      <c r="I539">
        <v>0.56999999999999995</v>
      </c>
      <c r="J539">
        <v>552068</v>
      </c>
      <c r="K539">
        <v>32751.06</v>
      </c>
      <c r="L539">
        <f t="shared" si="9"/>
        <v>0</v>
      </c>
      <c r="M539">
        <f>+IF(DailyData[[#This Row],[Column1]]&gt;0,DailyData[[#This Row],[Column1]]-L526,0)</f>
        <v>0</v>
      </c>
      <c r="N539" s="1">
        <f>+IF(DailyData[[#This Row],[Column2]]=0,0,DailyData[[#This Row],[Date]])</f>
        <v>0</v>
      </c>
    </row>
    <row r="540" spans="3:14" x14ac:dyDescent="0.25">
      <c r="C540" s="1">
        <v>45895</v>
      </c>
      <c r="D540" s="2" t="s">
        <v>12</v>
      </c>
      <c r="E540">
        <v>16361</v>
      </c>
      <c r="F540">
        <v>43</v>
      </c>
      <c r="G540">
        <v>43.02</v>
      </c>
      <c r="H540">
        <v>42.59</v>
      </c>
      <c r="I540">
        <v>42.65</v>
      </c>
      <c r="J540">
        <v>10597760</v>
      </c>
      <c r="K540">
        <v>697796.67</v>
      </c>
      <c r="L540">
        <f t="shared" si="9"/>
        <v>0</v>
      </c>
      <c r="M540">
        <f>+IF(DailyData[[#This Row],[Column1]]&gt;0,DailyData[[#This Row],[Column1]]-L527,0)</f>
        <v>0</v>
      </c>
      <c r="N540" s="1">
        <f>+IF(DailyData[[#This Row],[Column2]]=0,0,DailyData[[#This Row],[Date]])</f>
        <v>0</v>
      </c>
    </row>
    <row r="541" spans="3:14" x14ac:dyDescent="0.25">
      <c r="C541" s="1">
        <v>45895</v>
      </c>
      <c r="D541" s="2" t="s">
        <v>13</v>
      </c>
      <c r="E541">
        <v>44090</v>
      </c>
      <c r="F541">
        <v>1.2E-2</v>
      </c>
      <c r="G541">
        <v>1.2999999999999999E-2</v>
      </c>
      <c r="H541">
        <v>1.2E-2</v>
      </c>
      <c r="I541">
        <v>1.2E-2</v>
      </c>
      <c r="J541">
        <v>622767</v>
      </c>
      <c r="K541">
        <v>529.08000000000004</v>
      </c>
      <c r="L541">
        <f t="shared" si="9"/>
        <v>0</v>
      </c>
      <c r="M541">
        <f>+IF(DailyData[[#This Row],[Column1]]&gt;0,DailyData[[#This Row],[Column1]]-L528,0)</f>
        <v>0</v>
      </c>
      <c r="N541" s="1">
        <f>+IF(DailyData[[#This Row],[Column2]]=0,0,DailyData[[#This Row],[Date]])</f>
        <v>0</v>
      </c>
    </row>
    <row r="542" spans="3:14" x14ac:dyDescent="0.25">
      <c r="C542" s="1">
        <v>45895</v>
      </c>
      <c r="D542" s="2" t="s">
        <v>14</v>
      </c>
      <c r="E542">
        <v>0</v>
      </c>
      <c r="F542">
        <v>170.3</v>
      </c>
      <c r="G542">
        <v>171.76</v>
      </c>
      <c r="H542">
        <v>168.8</v>
      </c>
      <c r="I542">
        <v>169.08</v>
      </c>
      <c r="J542">
        <v>2527097</v>
      </c>
      <c r="K542">
        <v>0</v>
      </c>
      <c r="L542">
        <f t="shared" si="9"/>
        <v>0</v>
      </c>
      <c r="M542">
        <f>+IF(DailyData[[#This Row],[Column1]]&gt;0,DailyData[[#This Row],[Column1]]-L529,0)</f>
        <v>0</v>
      </c>
      <c r="N542" s="1">
        <f>+IF(DailyData[[#This Row],[Column2]]=0,0,DailyData[[#This Row],[Date]])</f>
        <v>0</v>
      </c>
    </row>
    <row r="543" spans="3:14" x14ac:dyDescent="0.25">
      <c r="C543" s="1">
        <v>45895</v>
      </c>
      <c r="D543" s="2" t="s">
        <v>15</v>
      </c>
      <c r="E543">
        <v>10000</v>
      </c>
      <c r="F543">
        <v>0.31</v>
      </c>
      <c r="G543">
        <v>0.33500000000000002</v>
      </c>
      <c r="H543">
        <v>0.31</v>
      </c>
      <c r="I543">
        <v>0.315</v>
      </c>
      <c r="J543">
        <v>216228</v>
      </c>
      <c r="K543">
        <v>3150</v>
      </c>
      <c r="L543">
        <f t="shared" si="9"/>
        <v>0</v>
      </c>
      <c r="M543">
        <f>+IF(DailyData[[#This Row],[Column1]]&gt;0,DailyData[[#This Row],[Column1]]-L530,0)</f>
        <v>0</v>
      </c>
      <c r="N543" s="1">
        <f>+IF(DailyData[[#This Row],[Column2]]=0,0,DailyData[[#This Row],[Date]])</f>
        <v>0</v>
      </c>
    </row>
    <row r="544" spans="3:14" x14ac:dyDescent="0.25">
      <c r="C544" s="1">
        <v>45895</v>
      </c>
      <c r="D544" s="2" t="s">
        <v>16</v>
      </c>
      <c r="E544">
        <v>20000</v>
      </c>
      <c r="F544">
        <v>0.31</v>
      </c>
      <c r="G544">
        <v>0.33</v>
      </c>
      <c r="H544">
        <v>0.31</v>
      </c>
      <c r="I544">
        <v>0.33</v>
      </c>
      <c r="J544">
        <v>100127</v>
      </c>
      <c r="K544">
        <v>6600</v>
      </c>
      <c r="L544">
        <f t="shared" si="9"/>
        <v>0</v>
      </c>
      <c r="M544">
        <f>+IF(DailyData[[#This Row],[Column1]]&gt;0,DailyData[[#This Row],[Column1]]-L531,0)</f>
        <v>0</v>
      </c>
      <c r="N544" s="1">
        <f>+IF(DailyData[[#This Row],[Column2]]=0,0,DailyData[[#This Row],[Date]])</f>
        <v>0</v>
      </c>
    </row>
    <row r="545" spans="3:14" x14ac:dyDescent="0.25">
      <c r="C545" s="1">
        <v>45895</v>
      </c>
      <c r="D545" s="2" t="s">
        <v>17</v>
      </c>
      <c r="E545">
        <v>700000</v>
      </c>
      <c r="F545">
        <v>2E-3</v>
      </c>
      <c r="G545">
        <v>3.0000000000000001E-3</v>
      </c>
      <c r="H545">
        <v>2E-3</v>
      </c>
      <c r="I545">
        <v>2E-3</v>
      </c>
      <c r="J545">
        <v>714289</v>
      </c>
      <c r="K545">
        <v>1750</v>
      </c>
      <c r="L545">
        <f t="shared" si="9"/>
        <v>0</v>
      </c>
      <c r="M545">
        <f>+IF(DailyData[[#This Row],[Column1]]&gt;0,DailyData[[#This Row],[Column1]]-L532,0)</f>
        <v>0</v>
      </c>
      <c r="N545" s="1">
        <f>+IF(DailyData[[#This Row],[Column2]]=0,0,DailyData[[#This Row],[Date]])</f>
        <v>0</v>
      </c>
    </row>
    <row r="546" spans="3:14" x14ac:dyDescent="0.25">
      <c r="C546" s="1">
        <v>45895</v>
      </c>
      <c r="D546" s="2" t="s">
        <v>18</v>
      </c>
      <c r="E546">
        <v>9412</v>
      </c>
      <c r="F546">
        <v>0.33</v>
      </c>
      <c r="G546">
        <v>0.33</v>
      </c>
      <c r="H546">
        <v>0.315</v>
      </c>
      <c r="I546">
        <v>0.32</v>
      </c>
      <c r="J546">
        <v>218946</v>
      </c>
      <c r="K546">
        <v>3011.84</v>
      </c>
      <c r="L546">
        <f t="shared" si="9"/>
        <v>0</v>
      </c>
      <c r="M546">
        <f>+IF(DailyData[[#This Row],[Column1]]&gt;0,DailyData[[#This Row],[Column1]]-L533,0)</f>
        <v>0</v>
      </c>
      <c r="N546" s="1">
        <f>+IF(DailyData[[#This Row],[Column2]]=0,0,DailyData[[#This Row],[Date]])</f>
        <v>0</v>
      </c>
    </row>
    <row r="547" spans="3:14" x14ac:dyDescent="0.25">
      <c r="C547" s="1">
        <v>45895</v>
      </c>
      <c r="D547" s="2" t="s">
        <v>19</v>
      </c>
      <c r="E547">
        <v>6000</v>
      </c>
      <c r="F547">
        <v>0.13</v>
      </c>
      <c r="G547">
        <v>0.16500000000000001</v>
      </c>
      <c r="H547">
        <v>0.13</v>
      </c>
      <c r="I547">
        <v>0.16500000000000001</v>
      </c>
      <c r="J547">
        <v>557200</v>
      </c>
      <c r="K547">
        <v>990</v>
      </c>
      <c r="L547">
        <f t="shared" si="9"/>
        <v>0</v>
      </c>
      <c r="M547">
        <f>+IF(DailyData[[#This Row],[Column1]]&gt;0,DailyData[[#This Row],[Column1]]-L534,0)</f>
        <v>0</v>
      </c>
      <c r="N547" s="1">
        <f>+IF(DailyData[[#This Row],[Column2]]=0,0,DailyData[[#This Row],[Date]])</f>
        <v>0</v>
      </c>
    </row>
    <row r="548" spans="3:14" x14ac:dyDescent="0.25">
      <c r="C548" s="1">
        <v>45895</v>
      </c>
      <c r="D548" s="2" t="s">
        <v>20</v>
      </c>
      <c r="E548">
        <v>0</v>
      </c>
      <c r="F548">
        <v>38.22</v>
      </c>
      <c r="G548">
        <v>38.49</v>
      </c>
      <c r="H548">
        <v>38.020000000000003</v>
      </c>
      <c r="I548">
        <v>38.299999999999997</v>
      </c>
      <c r="J548">
        <v>5050589</v>
      </c>
      <c r="K548">
        <v>0</v>
      </c>
      <c r="L548">
        <f t="shared" si="9"/>
        <v>0</v>
      </c>
      <c r="M548">
        <f>+IF(DailyData[[#This Row],[Column1]]&gt;0,DailyData[[#This Row],[Column1]]-L535,0)</f>
        <v>0</v>
      </c>
      <c r="N548" s="1">
        <f>+IF(DailyData[[#This Row],[Column2]]=0,0,DailyData[[#This Row],[Date]])</f>
        <v>0</v>
      </c>
    </row>
    <row r="549" spans="3:14" x14ac:dyDescent="0.25">
      <c r="C549" s="1">
        <v>45895</v>
      </c>
      <c r="D549" s="2" t="s">
        <v>21</v>
      </c>
      <c r="E549">
        <v>1288</v>
      </c>
      <c r="F549">
        <v>27.1</v>
      </c>
      <c r="G549">
        <v>27.3</v>
      </c>
      <c r="H549">
        <v>26.664999999999999</v>
      </c>
      <c r="I549">
        <v>27.03</v>
      </c>
      <c r="J549">
        <v>7501868</v>
      </c>
      <c r="K549">
        <v>34814.639999999999</v>
      </c>
      <c r="L549">
        <f t="shared" si="9"/>
        <v>1049612.95</v>
      </c>
      <c r="M549">
        <f>+IF(DailyData[[#This Row],[Column1]]&gt;0,DailyData[[#This Row],[Column1]]-L536,0)</f>
        <v>-13747.580000000075</v>
      </c>
      <c r="N549" s="1">
        <f>+IF(DailyData[[#This Row],[Column2]]=0,0,DailyData[[#This Row],[Date]])</f>
        <v>45895</v>
      </c>
    </row>
    <row r="550" spans="3:14" x14ac:dyDescent="0.25">
      <c r="C550" s="1">
        <v>45896</v>
      </c>
      <c r="D550" s="2" t="s">
        <v>9</v>
      </c>
      <c r="E550">
        <v>153181</v>
      </c>
      <c r="F550">
        <v>0.99</v>
      </c>
      <c r="G550">
        <v>1.0549999999999999</v>
      </c>
      <c r="H550">
        <v>0.97499999999999998</v>
      </c>
      <c r="I550">
        <v>1.04</v>
      </c>
      <c r="J550">
        <v>7693781</v>
      </c>
      <c r="K550">
        <v>159308.23000000001</v>
      </c>
      <c r="L550">
        <f t="shared" si="9"/>
        <v>0</v>
      </c>
      <c r="M550">
        <f>+IF(DailyData[[#This Row],[Column1]]&gt;0,DailyData[[#This Row],[Column1]]-L537,0)</f>
        <v>0</v>
      </c>
      <c r="N550" s="1">
        <f>+IF(DailyData[[#This Row],[Column2]]=0,0,DailyData[[#This Row],[Date]])</f>
        <v>0</v>
      </c>
    </row>
    <row r="551" spans="3:14" x14ac:dyDescent="0.25">
      <c r="C551" s="1">
        <v>45896</v>
      </c>
      <c r="D551" s="2" t="s">
        <v>10</v>
      </c>
      <c r="E551">
        <v>70000</v>
      </c>
      <c r="F551">
        <v>1.73</v>
      </c>
      <c r="G551">
        <v>1.73</v>
      </c>
      <c r="H551">
        <v>1.6950000000000001</v>
      </c>
      <c r="I551">
        <v>1.72</v>
      </c>
      <c r="J551">
        <v>4526852</v>
      </c>
      <c r="K551">
        <v>120400</v>
      </c>
      <c r="L551">
        <f t="shared" si="9"/>
        <v>0</v>
      </c>
      <c r="M551">
        <f>+IF(DailyData[[#This Row],[Column1]]&gt;0,DailyData[[#This Row],[Column1]]-L538,0)</f>
        <v>0</v>
      </c>
      <c r="N551" s="1">
        <f>+IF(DailyData[[#This Row],[Column2]]=0,0,DailyData[[#This Row],[Date]])</f>
        <v>0</v>
      </c>
    </row>
    <row r="552" spans="3:14" x14ac:dyDescent="0.25">
      <c r="C552" s="1">
        <v>45896</v>
      </c>
      <c r="D552" s="2" t="s">
        <v>11</v>
      </c>
      <c r="E552">
        <v>57458</v>
      </c>
      <c r="F552">
        <v>0.57499999999999996</v>
      </c>
      <c r="G552">
        <v>0.58499999999999996</v>
      </c>
      <c r="H552">
        <v>0.56499999999999995</v>
      </c>
      <c r="I552">
        <v>0.57999999999999996</v>
      </c>
      <c r="J552">
        <v>298482</v>
      </c>
      <c r="K552">
        <v>33325.64</v>
      </c>
      <c r="L552">
        <f t="shared" si="9"/>
        <v>0</v>
      </c>
      <c r="M552">
        <f>+IF(DailyData[[#This Row],[Column1]]&gt;0,DailyData[[#This Row],[Column1]]-L539,0)</f>
        <v>0</v>
      </c>
      <c r="N552" s="1">
        <f>+IF(DailyData[[#This Row],[Column2]]=0,0,DailyData[[#This Row],[Date]])</f>
        <v>0</v>
      </c>
    </row>
    <row r="553" spans="3:14" x14ac:dyDescent="0.25">
      <c r="C553" s="1">
        <v>45896</v>
      </c>
      <c r="D553" s="2" t="s">
        <v>12</v>
      </c>
      <c r="E553">
        <v>16361</v>
      </c>
      <c r="F553">
        <v>42.7</v>
      </c>
      <c r="G553">
        <v>43.22</v>
      </c>
      <c r="H553">
        <v>42.59</v>
      </c>
      <c r="I553">
        <v>43.22</v>
      </c>
      <c r="J553">
        <v>5993473</v>
      </c>
      <c r="K553">
        <v>707122.44</v>
      </c>
      <c r="L553">
        <f t="shared" si="9"/>
        <v>0</v>
      </c>
      <c r="M553">
        <f>+IF(DailyData[[#This Row],[Column1]]&gt;0,DailyData[[#This Row],[Column1]]-L540,0)</f>
        <v>0</v>
      </c>
      <c r="N553" s="1">
        <f>+IF(DailyData[[#This Row],[Column2]]=0,0,DailyData[[#This Row],[Date]])</f>
        <v>0</v>
      </c>
    </row>
    <row r="554" spans="3:14" x14ac:dyDescent="0.25">
      <c r="C554" s="1">
        <v>45896</v>
      </c>
      <c r="D554" s="2" t="s">
        <v>13</v>
      </c>
      <c r="E554">
        <v>44090</v>
      </c>
      <c r="F554">
        <v>1.2E-2</v>
      </c>
      <c r="G554">
        <v>1.2999999999999999E-2</v>
      </c>
      <c r="H554">
        <v>1.2E-2</v>
      </c>
      <c r="I554">
        <v>1.2E-2</v>
      </c>
      <c r="J554">
        <v>890131</v>
      </c>
      <c r="K554">
        <v>529.08000000000004</v>
      </c>
      <c r="L554">
        <f t="shared" si="9"/>
        <v>0</v>
      </c>
      <c r="M554">
        <f>+IF(DailyData[[#This Row],[Column1]]&gt;0,DailyData[[#This Row],[Column1]]-L541,0)</f>
        <v>0</v>
      </c>
      <c r="N554" s="1">
        <f>+IF(DailyData[[#This Row],[Column2]]=0,0,DailyData[[#This Row],[Date]])</f>
        <v>0</v>
      </c>
    </row>
    <row r="555" spans="3:14" x14ac:dyDescent="0.25">
      <c r="C555" s="1">
        <v>45896</v>
      </c>
      <c r="D555" s="2" t="s">
        <v>14</v>
      </c>
      <c r="E555">
        <v>0</v>
      </c>
      <c r="F555">
        <v>170.24</v>
      </c>
      <c r="G555">
        <v>171.49</v>
      </c>
      <c r="H555">
        <v>169.27500000000001</v>
      </c>
      <c r="I555">
        <v>169.83</v>
      </c>
      <c r="J555">
        <v>1134394</v>
      </c>
      <c r="K555">
        <v>0</v>
      </c>
      <c r="L555">
        <f t="shared" si="9"/>
        <v>0</v>
      </c>
      <c r="M555">
        <f>+IF(DailyData[[#This Row],[Column1]]&gt;0,DailyData[[#This Row],[Column1]]-L542,0)</f>
        <v>0</v>
      </c>
      <c r="N555" s="1">
        <f>+IF(DailyData[[#This Row],[Column2]]=0,0,DailyData[[#This Row],[Date]])</f>
        <v>0</v>
      </c>
    </row>
    <row r="556" spans="3:14" x14ac:dyDescent="0.25">
      <c r="C556" s="1">
        <v>45896</v>
      </c>
      <c r="D556" s="2" t="s">
        <v>15</v>
      </c>
      <c r="E556">
        <v>10000</v>
      </c>
      <c r="F556">
        <v>0.31</v>
      </c>
      <c r="G556">
        <v>0.32500000000000001</v>
      </c>
      <c r="H556">
        <v>0.31</v>
      </c>
      <c r="I556">
        <v>0.32</v>
      </c>
      <c r="J556">
        <v>36708</v>
      </c>
      <c r="K556">
        <v>3200</v>
      </c>
      <c r="L556">
        <f t="shared" si="9"/>
        <v>0</v>
      </c>
      <c r="M556">
        <f>+IF(DailyData[[#This Row],[Column1]]&gt;0,DailyData[[#This Row],[Column1]]-L543,0)</f>
        <v>0</v>
      </c>
      <c r="N556" s="1">
        <f>+IF(DailyData[[#This Row],[Column2]]=0,0,DailyData[[#This Row],[Date]])</f>
        <v>0</v>
      </c>
    </row>
    <row r="557" spans="3:14" x14ac:dyDescent="0.25">
      <c r="C557" s="1">
        <v>45896</v>
      </c>
      <c r="D557" s="2" t="s">
        <v>16</v>
      </c>
      <c r="E557">
        <v>20000</v>
      </c>
      <c r="F557">
        <v>0.33</v>
      </c>
      <c r="G557">
        <v>0.33</v>
      </c>
      <c r="H557">
        <v>0.32</v>
      </c>
      <c r="I557">
        <v>0.32</v>
      </c>
      <c r="J557">
        <v>55734</v>
      </c>
      <c r="K557">
        <v>6400</v>
      </c>
      <c r="L557">
        <f t="shared" si="9"/>
        <v>0</v>
      </c>
      <c r="M557">
        <f>+IF(DailyData[[#This Row],[Column1]]&gt;0,DailyData[[#This Row],[Column1]]-L544,0)</f>
        <v>0</v>
      </c>
      <c r="N557" s="1">
        <f>+IF(DailyData[[#This Row],[Column2]]=0,0,DailyData[[#This Row],[Date]])</f>
        <v>0</v>
      </c>
    </row>
    <row r="558" spans="3:14" x14ac:dyDescent="0.25">
      <c r="C558" s="1">
        <v>45896</v>
      </c>
      <c r="D558" s="2" t="s">
        <v>17</v>
      </c>
      <c r="E558">
        <v>700000</v>
      </c>
      <c r="F558">
        <v>2E-3</v>
      </c>
      <c r="G558">
        <v>2E-3</v>
      </c>
      <c r="H558">
        <v>2E-3</v>
      </c>
      <c r="I558">
        <v>2E-3</v>
      </c>
      <c r="J558">
        <v>29734</v>
      </c>
      <c r="K558">
        <v>1750</v>
      </c>
      <c r="L558">
        <f t="shared" si="9"/>
        <v>0</v>
      </c>
      <c r="M558">
        <f>+IF(DailyData[[#This Row],[Column1]]&gt;0,DailyData[[#This Row],[Column1]]-L545,0)</f>
        <v>0</v>
      </c>
      <c r="N558" s="1">
        <f>+IF(DailyData[[#This Row],[Column2]]=0,0,DailyData[[#This Row],[Date]])</f>
        <v>0</v>
      </c>
    </row>
    <row r="559" spans="3:14" x14ac:dyDescent="0.25">
      <c r="C559" s="1">
        <v>45896</v>
      </c>
      <c r="D559" s="2" t="s">
        <v>18</v>
      </c>
      <c r="E559">
        <v>9412</v>
      </c>
      <c r="F559">
        <v>0.32</v>
      </c>
      <c r="G559">
        <v>0.33500000000000002</v>
      </c>
      <c r="H559">
        <v>0.30299999999999999</v>
      </c>
      <c r="I559">
        <v>0.33</v>
      </c>
      <c r="J559">
        <v>663419</v>
      </c>
      <c r="K559">
        <v>3105.96</v>
      </c>
      <c r="L559">
        <f t="shared" si="9"/>
        <v>0</v>
      </c>
      <c r="M559">
        <f>+IF(DailyData[[#This Row],[Column1]]&gt;0,DailyData[[#This Row],[Column1]]-L546,0)</f>
        <v>0</v>
      </c>
      <c r="N559" s="1">
        <f>+IF(DailyData[[#This Row],[Column2]]=0,0,DailyData[[#This Row],[Date]])</f>
        <v>0</v>
      </c>
    </row>
    <row r="560" spans="3:14" x14ac:dyDescent="0.25">
      <c r="C560" s="1">
        <v>45896</v>
      </c>
      <c r="D560" s="2" t="s">
        <v>19</v>
      </c>
      <c r="E560">
        <v>6000</v>
      </c>
      <c r="F560">
        <v>0.17</v>
      </c>
      <c r="G560">
        <v>0.26</v>
      </c>
      <c r="H560">
        <v>0.17</v>
      </c>
      <c r="I560">
        <v>0.21</v>
      </c>
      <c r="J560">
        <v>1754048</v>
      </c>
      <c r="K560">
        <v>1260</v>
      </c>
      <c r="L560">
        <f t="shared" si="9"/>
        <v>0</v>
      </c>
      <c r="M560">
        <f>+IF(DailyData[[#This Row],[Column1]]&gt;0,DailyData[[#This Row],[Column1]]-L547,0)</f>
        <v>0</v>
      </c>
      <c r="N560" s="1">
        <f>+IF(DailyData[[#This Row],[Column2]]=0,0,DailyData[[#This Row],[Date]])</f>
        <v>0</v>
      </c>
    </row>
    <row r="561" spans="3:14" x14ac:dyDescent="0.25">
      <c r="C561" s="1">
        <v>45896</v>
      </c>
      <c r="D561" s="2" t="s">
        <v>20</v>
      </c>
      <c r="E561">
        <v>0</v>
      </c>
      <c r="F561">
        <v>38.4</v>
      </c>
      <c r="G561">
        <v>38.5</v>
      </c>
      <c r="H561">
        <v>38.229999999999997</v>
      </c>
      <c r="I561">
        <v>38.5</v>
      </c>
      <c r="J561">
        <v>2631970</v>
      </c>
      <c r="K561">
        <v>0</v>
      </c>
      <c r="L561">
        <f t="shared" si="9"/>
        <v>0</v>
      </c>
      <c r="M561">
        <f>+IF(DailyData[[#This Row],[Column1]]&gt;0,DailyData[[#This Row],[Column1]]-L548,0)</f>
        <v>0</v>
      </c>
      <c r="N561" s="1">
        <f>+IF(DailyData[[#This Row],[Column2]]=0,0,DailyData[[#This Row],[Date]])</f>
        <v>0</v>
      </c>
    </row>
    <row r="562" spans="3:14" x14ac:dyDescent="0.25">
      <c r="C562" s="1">
        <v>45896</v>
      </c>
      <c r="D562" s="2" t="s">
        <v>21</v>
      </c>
      <c r="E562">
        <v>1288</v>
      </c>
      <c r="F562">
        <v>27.01</v>
      </c>
      <c r="G562">
        <v>27.21</v>
      </c>
      <c r="H562">
        <v>26.97</v>
      </c>
      <c r="I562">
        <v>27.08</v>
      </c>
      <c r="J562">
        <v>4683533</v>
      </c>
      <c r="K562">
        <v>34879.040000000001</v>
      </c>
      <c r="L562">
        <f t="shared" si="9"/>
        <v>1071280.3899999999</v>
      </c>
      <c r="M562">
        <f>+IF(DailyData[[#This Row],[Column1]]&gt;0,DailyData[[#This Row],[Column1]]-L549,0)</f>
        <v>21667.439999999944</v>
      </c>
      <c r="N562" s="1">
        <f>+IF(DailyData[[#This Row],[Column2]]=0,0,DailyData[[#This Row],[Date]])</f>
        <v>45896</v>
      </c>
    </row>
    <row r="563" spans="3:14" x14ac:dyDescent="0.25">
      <c r="C563" s="1">
        <v>45897</v>
      </c>
      <c r="D563" s="2" t="s">
        <v>9</v>
      </c>
      <c r="E563">
        <v>153181</v>
      </c>
      <c r="F563">
        <v>1.0449999999999999</v>
      </c>
      <c r="G563">
        <v>1.0820000000000001</v>
      </c>
      <c r="H563">
        <v>1.0349999999999999</v>
      </c>
      <c r="I563">
        <v>1.05</v>
      </c>
      <c r="J563">
        <v>6287204</v>
      </c>
      <c r="K563">
        <v>160840.04</v>
      </c>
      <c r="L563">
        <f t="shared" si="9"/>
        <v>0</v>
      </c>
      <c r="M563">
        <f>+IF(DailyData[[#This Row],[Column1]]&gt;0,DailyData[[#This Row],[Column1]]-L550,0)</f>
        <v>0</v>
      </c>
      <c r="N563" s="1">
        <f>+IF(DailyData[[#This Row],[Column2]]=0,0,DailyData[[#This Row],[Date]])</f>
        <v>0</v>
      </c>
    </row>
    <row r="564" spans="3:14" x14ac:dyDescent="0.25">
      <c r="C564" s="1">
        <v>45897</v>
      </c>
      <c r="D564" s="2" t="s">
        <v>10</v>
      </c>
      <c r="E564">
        <v>70000</v>
      </c>
      <c r="F564">
        <v>1.73</v>
      </c>
      <c r="G564">
        <v>1.73</v>
      </c>
      <c r="H564">
        <v>1.6950000000000001</v>
      </c>
      <c r="I564">
        <v>1.6950000000000001</v>
      </c>
      <c r="J564">
        <v>2008647</v>
      </c>
      <c r="K564">
        <v>118650</v>
      </c>
      <c r="L564">
        <f t="shared" si="9"/>
        <v>0</v>
      </c>
      <c r="M564">
        <f>+IF(DailyData[[#This Row],[Column1]]&gt;0,DailyData[[#This Row],[Column1]]-L551,0)</f>
        <v>0</v>
      </c>
      <c r="N564" s="1">
        <f>+IF(DailyData[[#This Row],[Column2]]=0,0,DailyData[[#This Row],[Date]])</f>
        <v>0</v>
      </c>
    </row>
    <row r="565" spans="3:14" x14ac:dyDescent="0.25">
      <c r="C565" s="1">
        <v>45897</v>
      </c>
      <c r="D565" s="2" t="s">
        <v>11</v>
      </c>
      <c r="E565">
        <v>57458</v>
      </c>
      <c r="F565">
        <v>0.59</v>
      </c>
      <c r="G565">
        <v>0.625</v>
      </c>
      <c r="H565">
        <v>0.58499999999999996</v>
      </c>
      <c r="I565">
        <v>0.60499999999999998</v>
      </c>
      <c r="J565">
        <v>2380768</v>
      </c>
      <c r="K565">
        <v>34762.089999999997</v>
      </c>
      <c r="L565">
        <f t="shared" si="9"/>
        <v>0</v>
      </c>
      <c r="M565">
        <f>+IF(DailyData[[#This Row],[Column1]]&gt;0,DailyData[[#This Row],[Column1]]-L552,0)</f>
        <v>0</v>
      </c>
      <c r="N565" s="1">
        <f>+IF(DailyData[[#This Row],[Column2]]=0,0,DailyData[[#This Row],[Date]])</f>
        <v>0</v>
      </c>
    </row>
    <row r="566" spans="3:14" x14ac:dyDescent="0.25">
      <c r="C566" s="1">
        <v>45897</v>
      </c>
      <c r="D566" s="2" t="s">
        <v>12</v>
      </c>
      <c r="E566">
        <v>16361</v>
      </c>
      <c r="F566">
        <v>42.91</v>
      </c>
      <c r="G566">
        <v>43.06</v>
      </c>
      <c r="H566">
        <v>42.76</v>
      </c>
      <c r="I566">
        <v>43.01</v>
      </c>
      <c r="J566">
        <v>6259702</v>
      </c>
      <c r="K566">
        <v>703686.58</v>
      </c>
      <c r="L566">
        <f t="shared" si="9"/>
        <v>0</v>
      </c>
      <c r="M566">
        <f>+IF(DailyData[[#This Row],[Column1]]&gt;0,DailyData[[#This Row],[Column1]]-L553,0)</f>
        <v>0</v>
      </c>
      <c r="N566" s="1">
        <f>+IF(DailyData[[#This Row],[Column2]]=0,0,DailyData[[#This Row],[Date]])</f>
        <v>0</v>
      </c>
    </row>
    <row r="567" spans="3:14" x14ac:dyDescent="0.25">
      <c r="C567" s="1">
        <v>45897</v>
      </c>
      <c r="D567" s="2" t="s">
        <v>13</v>
      </c>
      <c r="E567">
        <v>44090</v>
      </c>
      <c r="F567">
        <v>1.2E-2</v>
      </c>
      <c r="G567">
        <v>1.4E-2</v>
      </c>
      <c r="H567">
        <v>1.2E-2</v>
      </c>
      <c r="I567">
        <v>1.2E-2</v>
      </c>
      <c r="J567">
        <v>2215128</v>
      </c>
      <c r="K567">
        <v>529.08000000000004</v>
      </c>
      <c r="L567">
        <f t="shared" si="9"/>
        <v>0</v>
      </c>
      <c r="M567">
        <f>+IF(DailyData[[#This Row],[Column1]]&gt;0,DailyData[[#This Row],[Column1]]-L554,0)</f>
        <v>0</v>
      </c>
      <c r="N567" s="1">
        <f>+IF(DailyData[[#This Row],[Column2]]=0,0,DailyData[[#This Row],[Date]])</f>
        <v>0</v>
      </c>
    </row>
    <row r="568" spans="3:14" x14ac:dyDescent="0.25">
      <c r="C568" s="1">
        <v>45897</v>
      </c>
      <c r="D568" s="2" t="s">
        <v>14</v>
      </c>
      <c r="E568">
        <v>0</v>
      </c>
      <c r="F568">
        <v>170.37</v>
      </c>
      <c r="G568">
        <v>173.35</v>
      </c>
      <c r="H568">
        <v>170.16</v>
      </c>
      <c r="I568">
        <v>173.35</v>
      </c>
      <c r="J568">
        <v>1558387</v>
      </c>
      <c r="K568">
        <v>0</v>
      </c>
      <c r="L568">
        <f t="shared" si="9"/>
        <v>0</v>
      </c>
      <c r="M568">
        <f>+IF(DailyData[[#This Row],[Column1]]&gt;0,DailyData[[#This Row],[Column1]]-L555,0)</f>
        <v>0</v>
      </c>
      <c r="N568" s="1">
        <f>+IF(DailyData[[#This Row],[Column2]]=0,0,DailyData[[#This Row],[Date]])</f>
        <v>0</v>
      </c>
    </row>
    <row r="569" spans="3:14" x14ac:dyDescent="0.25">
      <c r="C569" s="1">
        <v>45897</v>
      </c>
      <c r="D569" s="2" t="s">
        <v>15</v>
      </c>
      <c r="E569">
        <v>10000</v>
      </c>
      <c r="F569">
        <v>0.33</v>
      </c>
      <c r="G569">
        <v>0.33</v>
      </c>
      <c r="H569">
        <v>0.315</v>
      </c>
      <c r="I569">
        <v>0.315</v>
      </c>
      <c r="J569">
        <v>52601</v>
      </c>
      <c r="K569">
        <v>3150</v>
      </c>
      <c r="L569">
        <f t="shared" si="9"/>
        <v>0</v>
      </c>
      <c r="M569">
        <f>+IF(DailyData[[#This Row],[Column1]]&gt;0,DailyData[[#This Row],[Column1]]-L556,0)</f>
        <v>0</v>
      </c>
      <c r="N569" s="1">
        <f>+IF(DailyData[[#This Row],[Column2]]=0,0,DailyData[[#This Row],[Date]])</f>
        <v>0</v>
      </c>
    </row>
    <row r="570" spans="3:14" x14ac:dyDescent="0.25">
      <c r="C570" s="1">
        <v>45897</v>
      </c>
      <c r="D570" s="2" t="s">
        <v>16</v>
      </c>
      <c r="E570">
        <v>20000</v>
      </c>
      <c r="F570">
        <v>0.31</v>
      </c>
      <c r="G570">
        <v>0.315</v>
      </c>
      <c r="H570">
        <v>0.30499999999999999</v>
      </c>
      <c r="I570">
        <v>0.31</v>
      </c>
      <c r="J570">
        <v>80862</v>
      </c>
      <c r="K570">
        <v>6200</v>
      </c>
      <c r="L570">
        <f t="shared" si="9"/>
        <v>0</v>
      </c>
      <c r="M570">
        <f>+IF(DailyData[[#This Row],[Column1]]&gt;0,DailyData[[#This Row],[Column1]]-L557,0)</f>
        <v>0</v>
      </c>
      <c r="N570" s="1">
        <f>+IF(DailyData[[#This Row],[Column2]]=0,0,DailyData[[#This Row],[Date]])</f>
        <v>0</v>
      </c>
    </row>
    <row r="571" spans="3:14" x14ac:dyDescent="0.25">
      <c r="C571" s="1">
        <v>45897</v>
      </c>
      <c r="D571" s="2" t="s">
        <v>17</v>
      </c>
      <c r="E571">
        <v>700000</v>
      </c>
      <c r="F571">
        <v>2E-3</v>
      </c>
      <c r="G571">
        <v>3.0000000000000001E-3</v>
      </c>
      <c r="H571">
        <v>2E-3</v>
      </c>
      <c r="I571">
        <v>2E-3</v>
      </c>
      <c r="J571">
        <v>894753</v>
      </c>
      <c r="K571">
        <v>1400</v>
      </c>
      <c r="L571">
        <f t="shared" si="9"/>
        <v>0</v>
      </c>
      <c r="M571">
        <f>+IF(DailyData[[#This Row],[Column1]]&gt;0,DailyData[[#This Row],[Column1]]-L558,0)</f>
        <v>0</v>
      </c>
      <c r="N571" s="1">
        <f>+IF(DailyData[[#This Row],[Column2]]=0,0,DailyData[[#This Row],[Date]])</f>
        <v>0</v>
      </c>
    </row>
    <row r="572" spans="3:14" x14ac:dyDescent="0.25">
      <c r="C572" s="1">
        <v>45897</v>
      </c>
      <c r="D572" s="2" t="s">
        <v>18</v>
      </c>
      <c r="E572">
        <v>9412</v>
      </c>
      <c r="F572">
        <v>0.33</v>
      </c>
      <c r="G572">
        <v>0.33</v>
      </c>
      <c r="H572">
        <v>0.32</v>
      </c>
      <c r="I572">
        <v>0.32500000000000001</v>
      </c>
      <c r="J572">
        <v>41551</v>
      </c>
      <c r="K572">
        <v>3058.9</v>
      </c>
      <c r="L572">
        <f t="shared" si="9"/>
        <v>0</v>
      </c>
      <c r="M572">
        <f>+IF(DailyData[[#This Row],[Column1]]&gt;0,DailyData[[#This Row],[Column1]]-L559,0)</f>
        <v>0</v>
      </c>
      <c r="N572" s="1">
        <f>+IF(DailyData[[#This Row],[Column2]]=0,0,DailyData[[#This Row],[Date]])</f>
        <v>0</v>
      </c>
    </row>
    <row r="573" spans="3:14" x14ac:dyDescent="0.25">
      <c r="C573" s="1">
        <v>45897</v>
      </c>
      <c r="D573" s="2" t="s">
        <v>19</v>
      </c>
      <c r="E573">
        <v>6000</v>
      </c>
      <c r="F573">
        <v>0.20499999999999999</v>
      </c>
      <c r="G573">
        <v>0.20499999999999999</v>
      </c>
      <c r="H573">
        <v>0.185</v>
      </c>
      <c r="I573">
        <v>0.2</v>
      </c>
      <c r="J573">
        <v>373938</v>
      </c>
      <c r="K573">
        <v>1200</v>
      </c>
      <c r="L573">
        <f t="shared" si="9"/>
        <v>0</v>
      </c>
      <c r="M573">
        <f>+IF(DailyData[[#This Row],[Column1]]&gt;0,DailyData[[#This Row],[Column1]]-L560,0)</f>
        <v>0</v>
      </c>
      <c r="N573" s="1">
        <f>+IF(DailyData[[#This Row],[Column2]]=0,0,DailyData[[#This Row],[Date]])</f>
        <v>0</v>
      </c>
    </row>
    <row r="574" spans="3:14" x14ac:dyDescent="0.25">
      <c r="C574" s="1">
        <v>45897</v>
      </c>
      <c r="D574" s="2" t="s">
        <v>20</v>
      </c>
      <c r="E574">
        <v>0</v>
      </c>
      <c r="F574">
        <v>38.5</v>
      </c>
      <c r="G574">
        <v>39.01</v>
      </c>
      <c r="H574">
        <v>38.445</v>
      </c>
      <c r="I574">
        <v>39.01</v>
      </c>
      <c r="J574">
        <v>3371845</v>
      </c>
      <c r="K574">
        <v>0</v>
      </c>
      <c r="L574">
        <f t="shared" si="9"/>
        <v>0</v>
      </c>
      <c r="M574">
        <f>+IF(DailyData[[#This Row],[Column1]]&gt;0,DailyData[[#This Row],[Column1]]-L561,0)</f>
        <v>0</v>
      </c>
      <c r="N574" s="1">
        <f>+IF(DailyData[[#This Row],[Column2]]=0,0,DailyData[[#This Row],[Date]])</f>
        <v>0</v>
      </c>
    </row>
    <row r="575" spans="3:14" x14ac:dyDescent="0.25">
      <c r="C575" s="1">
        <v>45897</v>
      </c>
      <c r="D575" s="2" t="s">
        <v>21</v>
      </c>
      <c r="E575">
        <v>1288</v>
      </c>
      <c r="F575">
        <v>26.16</v>
      </c>
      <c r="G575">
        <v>26.24</v>
      </c>
      <c r="H575">
        <v>25.92</v>
      </c>
      <c r="I575">
        <v>26.15</v>
      </c>
      <c r="J575">
        <v>4353289</v>
      </c>
      <c r="K575">
        <v>33681.199999999997</v>
      </c>
      <c r="L575">
        <f t="shared" si="9"/>
        <v>1067157.8899999999</v>
      </c>
      <c r="M575">
        <f>+IF(DailyData[[#This Row],[Column1]]&gt;0,DailyData[[#This Row],[Column1]]-L562,0)</f>
        <v>-4122.5</v>
      </c>
      <c r="N575" s="1">
        <f>+IF(DailyData[[#This Row],[Column2]]=0,0,DailyData[[#This Row],[Date]])</f>
        <v>45897</v>
      </c>
    </row>
    <row r="576" spans="3:14" x14ac:dyDescent="0.25">
      <c r="C576" s="1">
        <v>45898</v>
      </c>
      <c r="D576" s="2" t="s">
        <v>9</v>
      </c>
      <c r="E576">
        <v>153181</v>
      </c>
      <c r="F576">
        <v>1.0649999999999999</v>
      </c>
      <c r="G576">
        <v>1.095</v>
      </c>
      <c r="H576">
        <v>1.05</v>
      </c>
      <c r="I576">
        <v>1.05</v>
      </c>
      <c r="J576">
        <v>9269087</v>
      </c>
      <c r="K576">
        <v>160840.04</v>
      </c>
      <c r="L576">
        <f t="shared" si="9"/>
        <v>0</v>
      </c>
      <c r="M576">
        <f>+IF(DailyData[[#This Row],[Column1]]&gt;0,DailyData[[#This Row],[Column1]]-L563,0)</f>
        <v>0</v>
      </c>
      <c r="N576" s="1">
        <f>+IF(DailyData[[#This Row],[Column2]]=0,0,DailyData[[#This Row],[Date]])</f>
        <v>0</v>
      </c>
    </row>
    <row r="577" spans="3:14" x14ac:dyDescent="0.25">
      <c r="C577" s="1">
        <v>45898</v>
      </c>
      <c r="D577" s="2" t="s">
        <v>10</v>
      </c>
      <c r="E577">
        <v>70000</v>
      </c>
      <c r="F577">
        <v>1.6850000000000001</v>
      </c>
      <c r="G577">
        <v>1.72</v>
      </c>
      <c r="H577">
        <v>1.68</v>
      </c>
      <c r="I577">
        <v>1.71</v>
      </c>
      <c r="J577">
        <v>3440237</v>
      </c>
      <c r="K577">
        <v>119700</v>
      </c>
      <c r="L577">
        <f t="shared" si="9"/>
        <v>0</v>
      </c>
      <c r="M577">
        <f>+IF(DailyData[[#This Row],[Column1]]&gt;0,DailyData[[#This Row],[Column1]]-L564,0)</f>
        <v>0</v>
      </c>
      <c r="N577" s="1">
        <f>+IF(DailyData[[#This Row],[Column2]]=0,0,DailyData[[#This Row],[Date]])</f>
        <v>0</v>
      </c>
    </row>
    <row r="578" spans="3:14" x14ac:dyDescent="0.25">
      <c r="C578" s="1">
        <v>45898</v>
      </c>
      <c r="D578" s="2" t="s">
        <v>11</v>
      </c>
      <c r="E578">
        <v>57458</v>
      </c>
      <c r="F578">
        <v>0.6</v>
      </c>
      <c r="G578">
        <v>0.61</v>
      </c>
      <c r="H578">
        <v>0.57999999999999996</v>
      </c>
      <c r="I578">
        <v>0.59</v>
      </c>
      <c r="J578">
        <v>746910</v>
      </c>
      <c r="K578">
        <v>33900.22</v>
      </c>
      <c r="L578">
        <f t="shared" si="9"/>
        <v>0</v>
      </c>
      <c r="M578">
        <f>+IF(DailyData[[#This Row],[Column1]]&gt;0,DailyData[[#This Row],[Column1]]-L565,0)</f>
        <v>0</v>
      </c>
      <c r="N578" s="1">
        <f>+IF(DailyData[[#This Row],[Column2]]=0,0,DailyData[[#This Row],[Date]])</f>
        <v>0</v>
      </c>
    </row>
    <row r="579" spans="3:14" x14ac:dyDescent="0.25">
      <c r="C579" s="1">
        <v>45898</v>
      </c>
      <c r="D579" s="2" t="s">
        <v>12</v>
      </c>
      <c r="E579">
        <v>16361</v>
      </c>
      <c r="F579">
        <v>43.1</v>
      </c>
      <c r="G579">
        <v>43.32</v>
      </c>
      <c r="H579">
        <v>42.8</v>
      </c>
      <c r="I579">
        <v>43.19</v>
      </c>
      <c r="J579">
        <v>11355266</v>
      </c>
      <c r="K579">
        <v>706631.57</v>
      </c>
      <c r="L579">
        <f t="shared" si="9"/>
        <v>0</v>
      </c>
      <c r="M579">
        <f>+IF(DailyData[[#This Row],[Column1]]&gt;0,DailyData[[#This Row],[Column1]]-L566,0)</f>
        <v>0</v>
      </c>
      <c r="N579" s="1">
        <f>+IF(DailyData[[#This Row],[Column2]]=0,0,DailyData[[#This Row],[Date]])</f>
        <v>0</v>
      </c>
    </row>
    <row r="580" spans="3:14" x14ac:dyDescent="0.25">
      <c r="C580" s="1">
        <v>45898</v>
      </c>
      <c r="D580" s="2" t="s">
        <v>13</v>
      </c>
      <c r="E580">
        <v>44090</v>
      </c>
      <c r="F580">
        <v>1.2999999999999999E-2</v>
      </c>
      <c r="G580">
        <v>1.4E-2</v>
      </c>
      <c r="H580">
        <v>1.2E-2</v>
      </c>
      <c r="I580">
        <v>1.4E-2</v>
      </c>
      <c r="J580">
        <v>4173308</v>
      </c>
      <c r="K580">
        <v>617.26</v>
      </c>
      <c r="L580">
        <f t="shared" si="9"/>
        <v>0</v>
      </c>
      <c r="M580">
        <f>+IF(DailyData[[#This Row],[Column1]]&gt;0,DailyData[[#This Row],[Column1]]-L567,0)</f>
        <v>0</v>
      </c>
      <c r="N580" s="1">
        <f>+IF(DailyData[[#This Row],[Column2]]=0,0,DailyData[[#This Row],[Date]])</f>
        <v>0</v>
      </c>
    </row>
    <row r="581" spans="3:14" x14ac:dyDescent="0.25">
      <c r="C581" s="1">
        <v>45898</v>
      </c>
      <c r="D581" s="2" t="s">
        <v>14</v>
      </c>
      <c r="E581">
        <v>0</v>
      </c>
      <c r="F581">
        <v>172.06</v>
      </c>
      <c r="G581">
        <v>172.78</v>
      </c>
      <c r="H581">
        <v>170.3</v>
      </c>
      <c r="I581">
        <v>170.3</v>
      </c>
      <c r="J581">
        <v>2230286</v>
      </c>
      <c r="K581">
        <v>0</v>
      </c>
      <c r="L581">
        <f t="shared" si="9"/>
        <v>0</v>
      </c>
      <c r="M581">
        <f>+IF(DailyData[[#This Row],[Column1]]&gt;0,DailyData[[#This Row],[Column1]]-L568,0)</f>
        <v>0</v>
      </c>
      <c r="N581" s="1">
        <f>+IF(DailyData[[#This Row],[Column2]]=0,0,DailyData[[#This Row],[Date]])</f>
        <v>0</v>
      </c>
    </row>
    <row r="582" spans="3:14" x14ac:dyDescent="0.25">
      <c r="C582" s="1">
        <v>45898</v>
      </c>
      <c r="D582" s="2" t="s">
        <v>15</v>
      </c>
      <c r="E582">
        <v>10000</v>
      </c>
      <c r="F582">
        <v>0.315</v>
      </c>
      <c r="G582">
        <v>0.33</v>
      </c>
      <c r="H582">
        <v>0.315</v>
      </c>
      <c r="I582">
        <v>0.32</v>
      </c>
      <c r="J582">
        <v>189534</v>
      </c>
      <c r="K582">
        <v>3200</v>
      </c>
      <c r="L582">
        <f t="shared" si="9"/>
        <v>0</v>
      </c>
      <c r="M582">
        <f>+IF(DailyData[[#This Row],[Column1]]&gt;0,DailyData[[#This Row],[Column1]]-L569,0)</f>
        <v>0</v>
      </c>
      <c r="N582" s="1">
        <f>+IF(DailyData[[#This Row],[Column2]]=0,0,DailyData[[#This Row],[Date]])</f>
        <v>0</v>
      </c>
    </row>
    <row r="583" spans="3:14" x14ac:dyDescent="0.25">
      <c r="C583" s="1">
        <v>45898</v>
      </c>
      <c r="D583" s="2" t="s">
        <v>16</v>
      </c>
      <c r="E583">
        <v>20000</v>
      </c>
      <c r="F583">
        <v>0.31</v>
      </c>
      <c r="G583">
        <v>0.31</v>
      </c>
      <c r="H583">
        <v>0.30499999999999999</v>
      </c>
      <c r="I583">
        <v>0.31</v>
      </c>
      <c r="J583">
        <v>3272</v>
      </c>
      <c r="K583">
        <v>6200</v>
      </c>
      <c r="L583">
        <f t="shared" si="9"/>
        <v>0</v>
      </c>
      <c r="M583">
        <f>+IF(DailyData[[#This Row],[Column1]]&gt;0,DailyData[[#This Row],[Column1]]-L570,0)</f>
        <v>0</v>
      </c>
      <c r="N583" s="1">
        <f>+IF(DailyData[[#This Row],[Column2]]=0,0,DailyData[[#This Row],[Date]])</f>
        <v>0</v>
      </c>
    </row>
    <row r="584" spans="3:14" x14ac:dyDescent="0.25">
      <c r="C584" s="1">
        <v>45898</v>
      </c>
      <c r="D584" s="2" t="s">
        <v>17</v>
      </c>
      <c r="E584">
        <v>700000</v>
      </c>
      <c r="F584">
        <v>2E-3</v>
      </c>
      <c r="G584">
        <v>3.0000000000000001E-3</v>
      </c>
      <c r="H584">
        <v>2E-3</v>
      </c>
      <c r="I584">
        <v>2E-3</v>
      </c>
      <c r="J584">
        <v>6483080</v>
      </c>
      <c r="K584">
        <v>1400</v>
      </c>
      <c r="L584">
        <f t="shared" si="9"/>
        <v>0</v>
      </c>
      <c r="M584">
        <f>+IF(DailyData[[#This Row],[Column1]]&gt;0,DailyData[[#This Row],[Column1]]-L571,0)</f>
        <v>0</v>
      </c>
      <c r="N584" s="1">
        <f>+IF(DailyData[[#This Row],[Column2]]=0,0,DailyData[[#This Row],[Date]])</f>
        <v>0</v>
      </c>
    </row>
    <row r="585" spans="3:14" x14ac:dyDescent="0.25">
      <c r="C585" s="1">
        <v>45898</v>
      </c>
      <c r="D585" s="2" t="s">
        <v>18</v>
      </c>
      <c r="E585">
        <v>9412</v>
      </c>
      <c r="F585">
        <v>0.32500000000000001</v>
      </c>
      <c r="G585">
        <v>0.32500000000000001</v>
      </c>
      <c r="H585">
        <v>0.315</v>
      </c>
      <c r="I585">
        <v>0.32</v>
      </c>
      <c r="J585">
        <v>458071</v>
      </c>
      <c r="K585">
        <v>3011.84</v>
      </c>
      <c r="L585">
        <f t="shared" si="9"/>
        <v>0</v>
      </c>
      <c r="M585">
        <f>+IF(DailyData[[#This Row],[Column1]]&gt;0,DailyData[[#This Row],[Column1]]-L572,0)</f>
        <v>0</v>
      </c>
      <c r="N585" s="1">
        <f>+IF(DailyData[[#This Row],[Column2]]=0,0,DailyData[[#This Row],[Date]])</f>
        <v>0</v>
      </c>
    </row>
    <row r="586" spans="3:14" x14ac:dyDescent="0.25">
      <c r="C586" s="1">
        <v>45898</v>
      </c>
      <c r="D586" s="2" t="s">
        <v>19</v>
      </c>
      <c r="E586">
        <v>6000</v>
      </c>
      <c r="F586">
        <v>0.2</v>
      </c>
      <c r="G586">
        <v>0.22500000000000001</v>
      </c>
      <c r="H586">
        <v>0.2</v>
      </c>
      <c r="I586">
        <v>0.22500000000000001</v>
      </c>
      <c r="J586">
        <v>355018</v>
      </c>
      <c r="K586">
        <v>1350</v>
      </c>
      <c r="L586">
        <f t="shared" si="9"/>
        <v>0</v>
      </c>
      <c r="M586">
        <f>+IF(DailyData[[#This Row],[Column1]]&gt;0,DailyData[[#This Row],[Column1]]-L573,0)</f>
        <v>0</v>
      </c>
      <c r="N586" s="1">
        <f>+IF(DailyData[[#This Row],[Column2]]=0,0,DailyData[[#This Row],[Date]])</f>
        <v>0</v>
      </c>
    </row>
    <row r="587" spans="3:14" x14ac:dyDescent="0.25">
      <c r="C587" s="1">
        <v>45898</v>
      </c>
      <c r="D587" s="2" t="s">
        <v>20</v>
      </c>
      <c r="E587">
        <v>0</v>
      </c>
      <c r="F587">
        <v>38.85</v>
      </c>
      <c r="G587">
        <v>38.9</v>
      </c>
      <c r="H587">
        <v>38.39</v>
      </c>
      <c r="I587">
        <v>38.61</v>
      </c>
      <c r="J587">
        <v>4984661</v>
      </c>
      <c r="K587">
        <v>0</v>
      </c>
      <c r="L587">
        <f t="shared" si="9"/>
        <v>0</v>
      </c>
      <c r="M587">
        <f>+IF(DailyData[[#This Row],[Column1]]&gt;0,DailyData[[#This Row],[Column1]]-L574,0)</f>
        <v>0</v>
      </c>
      <c r="N587" s="1">
        <f>+IF(DailyData[[#This Row],[Column2]]=0,0,DailyData[[#This Row],[Date]])</f>
        <v>0</v>
      </c>
    </row>
    <row r="588" spans="3:14" x14ac:dyDescent="0.25">
      <c r="C588" s="1">
        <v>45898</v>
      </c>
      <c r="D588" s="2" t="s">
        <v>21</v>
      </c>
      <c r="E588">
        <v>1288</v>
      </c>
      <c r="F588">
        <v>26.3</v>
      </c>
      <c r="G588">
        <v>26.43</v>
      </c>
      <c r="H588">
        <v>26.12</v>
      </c>
      <c r="I588">
        <v>26.41</v>
      </c>
      <c r="J588">
        <v>3892628</v>
      </c>
      <c r="K588">
        <v>34016.080000000002</v>
      </c>
      <c r="L588">
        <f t="shared" si="9"/>
        <v>1070867.01</v>
      </c>
      <c r="M588">
        <f>+IF(DailyData[[#This Row],[Column1]]&gt;0,DailyData[[#This Row],[Column1]]-L575,0)</f>
        <v>3709.1200000001118</v>
      </c>
      <c r="N588" s="1">
        <f>+IF(DailyData[[#This Row],[Column2]]=0,0,DailyData[[#This Row],[Date]])</f>
        <v>45898</v>
      </c>
    </row>
    <row r="589" spans="3:14" x14ac:dyDescent="0.25">
      <c r="C589" s="1">
        <v>45901</v>
      </c>
      <c r="D589" s="2" t="s">
        <v>9</v>
      </c>
      <c r="E589">
        <v>153181</v>
      </c>
      <c r="F589">
        <v>1.08</v>
      </c>
      <c r="G589">
        <v>1.1299999999999999</v>
      </c>
      <c r="H589">
        <v>1.07</v>
      </c>
      <c r="I589">
        <v>1.125</v>
      </c>
      <c r="J589">
        <v>7341682</v>
      </c>
      <c r="K589">
        <v>172328.62</v>
      </c>
      <c r="L589">
        <f t="shared" si="9"/>
        <v>0</v>
      </c>
      <c r="M589">
        <f>+IF(DailyData[[#This Row],[Column1]]&gt;0,DailyData[[#This Row],[Column1]]-L576,0)</f>
        <v>0</v>
      </c>
      <c r="N589" s="1">
        <f>+IF(DailyData[[#This Row],[Column2]]=0,0,DailyData[[#This Row],[Date]])</f>
        <v>0</v>
      </c>
    </row>
    <row r="590" spans="3:14" x14ac:dyDescent="0.25">
      <c r="C590" s="1">
        <v>45901</v>
      </c>
      <c r="D590" s="2" t="s">
        <v>10</v>
      </c>
      <c r="E590">
        <v>70000</v>
      </c>
      <c r="F590">
        <v>1.6950000000000001</v>
      </c>
      <c r="G590">
        <v>1.7050000000000001</v>
      </c>
      <c r="H590">
        <v>1.675</v>
      </c>
      <c r="I590">
        <v>1.675</v>
      </c>
      <c r="J590">
        <v>2596769</v>
      </c>
      <c r="K590">
        <v>117250</v>
      </c>
      <c r="L590">
        <f t="shared" si="9"/>
        <v>0</v>
      </c>
      <c r="M590">
        <f>+IF(DailyData[[#This Row],[Column1]]&gt;0,DailyData[[#This Row],[Column1]]-L577,0)</f>
        <v>0</v>
      </c>
      <c r="N590" s="1">
        <f>+IF(DailyData[[#This Row],[Column2]]=0,0,DailyData[[#This Row],[Date]])</f>
        <v>0</v>
      </c>
    </row>
    <row r="591" spans="3:14" x14ac:dyDescent="0.25">
      <c r="C591" s="1">
        <v>45901</v>
      </c>
      <c r="D591" s="2" t="s">
        <v>11</v>
      </c>
      <c r="E591">
        <v>57458</v>
      </c>
      <c r="F591">
        <v>0.60499999999999998</v>
      </c>
      <c r="G591">
        <v>0.60499999999999998</v>
      </c>
      <c r="H591">
        <v>0.56999999999999995</v>
      </c>
      <c r="I591">
        <v>0.60499999999999998</v>
      </c>
      <c r="J591">
        <v>1191524</v>
      </c>
      <c r="K591">
        <v>34762.089999999997</v>
      </c>
      <c r="L591">
        <f t="shared" si="9"/>
        <v>0</v>
      </c>
      <c r="M591">
        <f>+IF(DailyData[[#This Row],[Column1]]&gt;0,DailyData[[#This Row],[Column1]]-L578,0)</f>
        <v>0</v>
      </c>
      <c r="N591" s="1">
        <f>+IF(DailyData[[#This Row],[Column2]]=0,0,DailyData[[#This Row],[Date]])</f>
        <v>0</v>
      </c>
    </row>
    <row r="592" spans="3:14" x14ac:dyDescent="0.25">
      <c r="C592" s="1">
        <v>45901</v>
      </c>
      <c r="D592" s="2" t="s">
        <v>12</v>
      </c>
      <c r="E592">
        <v>16361</v>
      </c>
      <c r="F592">
        <v>42.7</v>
      </c>
      <c r="G592">
        <v>42.9</v>
      </c>
      <c r="H592">
        <v>42.48</v>
      </c>
      <c r="I592">
        <v>42.7</v>
      </c>
      <c r="J592">
        <v>5679631</v>
      </c>
      <c r="K592">
        <v>698614.71</v>
      </c>
      <c r="L592">
        <f t="shared" si="9"/>
        <v>0</v>
      </c>
      <c r="M592">
        <f>+IF(DailyData[[#This Row],[Column1]]&gt;0,DailyData[[#This Row],[Column1]]-L579,0)</f>
        <v>0</v>
      </c>
      <c r="N592" s="1">
        <f>+IF(DailyData[[#This Row],[Column2]]=0,0,DailyData[[#This Row],[Date]])</f>
        <v>0</v>
      </c>
    </row>
    <row r="593" spans="3:14" x14ac:dyDescent="0.25">
      <c r="C593" s="1">
        <v>45901</v>
      </c>
      <c r="D593" s="2" t="s">
        <v>13</v>
      </c>
      <c r="E593">
        <v>44090</v>
      </c>
      <c r="F593">
        <v>1.4E-2</v>
      </c>
      <c r="G593">
        <v>1.4E-2</v>
      </c>
      <c r="H593">
        <v>1.2999999999999999E-2</v>
      </c>
      <c r="I593">
        <v>1.2999999999999999E-2</v>
      </c>
      <c r="J593">
        <v>1998114</v>
      </c>
      <c r="K593">
        <v>573.16999999999996</v>
      </c>
      <c r="L593">
        <f t="shared" ref="L593:L656" si="10">+IF(C594&lt;&gt;C593,SUM(K581:K593),0)</f>
        <v>0</v>
      </c>
      <c r="M593">
        <f>+IF(DailyData[[#This Row],[Column1]]&gt;0,DailyData[[#This Row],[Column1]]-L580,0)</f>
        <v>0</v>
      </c>
      <c r="N593" s="1">
        <f>+IF(DailyData[[#This Row],[Column2]]=0,0,DailyData[[#This Row],[Date]])</f>
        <v>0</v>
      </c>
    </row>
    <row r="594" spans="3:14" x14ac:dyDescent="0.25">
      <c r="C594" s="1">
        <v>45901</v>
      </c>
      <c r="D594" s="2" t="s">
        <v>14</v>
      </c>
      <c r="E594">
        <v>0</v>
      </c>
      <c r="F594">
        <v>170.58</v>
      </c>
      <c r="G594">
        <v>171.59</v>
      </c>
      <c r="H594">
        <v>168.08</v>
      </c>
      <c r="I594">
        <v>168.95</v>
      </c>
      <c r="J594">
        <v>1183192</v>
      </c>
      <c r="K594">
        <v>0</v>
      </c>
      <c r="L594">
        <f t="shared" si="10"/>
        <v>0</v>
      </c>
      <c r="M594">
        <f>+IF(DailyData[[#This Row],[Column1]]&gt;0,DailyData[[#This Row],[Column1]]-L581,0)</f>
        <v>0</v>
      </c>
      <c r="N594" s="1">
        <f>+IF(DailyData[[#This Row],[Column2]]=0,0,DailyData[[#This Row],[Date]])</f>
        <v>0</v>
      </c>
    </row>
    <row r="595" spans="3:14" x14ac:dyDescent="0.25">
      <c r="C595" s="1">
        <v>45901</v>
      </c>
      <c r="D595" s="2" t="s">
        <v>15</v>
      </c>
      <c r="E595">
        <v>10000</v>
      </c>
      <c r="F595">
        <v>0.32</v>
      </c>
      <c r="G595">
        <v>0.32500000000000001</v>
      </c>
      <c r="H595">
        <v>0.31</v>
      </c>
      <c r="I595">
        <v>0.31</v>
      </c>
      <c r="J595">
        <v>368158</v>
      </c>
      <c r="K595">
        <v>3100</v>
      </c>
      <c r="L595">
        <f t="shared" si="10"/>
        <v>0</v>
      </c>
      <c r="M595">
        <f>+IF(DailyData[[#This Row],[Column1]]&gt;0,DailyData[[#This Row],[Column1]]-L582,0)</f>
        <v>0</v>
      </c>
      <c r="N595" s="1">
        <f>+IF(DailyData[[#This Row],[Column2]]=0,0,DailyData[[#This Row],[Date]])</f>
        <v>0</v>
      </c>
    </row>
    <row r="596" spans="3:14" x14ac:dyDescent="0.25">
      <c r="C596" s="1">
        <v>45901</v>
      </c>
      <c r="D596" s="2" t="s">
        <v>16</v>
      </c>
      <c r="E596">
        <v>20000</v>
      </c>
      <c r="F596">
        <v>0.315</v>
      </c>
      <c r="G596">
        <v>0.315</v>
      </c>
      <c r="H596">
        <v>0.3</v>
      </c>
      <c r="I596">
        <v>0.3</v>
      </c>
      <c r="J596">
        <v>125095</v>
      </c>
      <c r="K596">
        <v>6000</v>
      </c>
      <c r="L596">
        <f t="shared" si="10"/>
        <v>0</v>
      </c>
      <c r="M596">
        <f>+IF(DailyData[[#This Row],[Column1]]&gt;0,DailyData[[#This Row],[Column1]]-L583,0)</f>
        <v>0</v>
      </c>
      <c r="N596" s="1">
        <f>+IF(DailyData[[#This Row],[Column2]]=0,0,DailyData[[#This Row],[Date]])</f>
        <v>0</v>
      </c>
    </row>
    <row r="597" spans="3:14" x14ac:dyDescent="0.25">
      <c r="C597" s="1">
        <v>45901</v>
      </c>
      <c r="D597" s="2" t="s">
        <v>17</v>
      </c>
      <c r="E597">
        <v>700000</v>
      </c>
      <c r="F597">
        <v>3.0000000000000001E-3</v>
      </c>
      <c r="G597">
        <v>3.0000000000000001E-3</v>
      </c>
      <c r="H597">
        <v>2E-3</v>
      </c>
      <c r="I597">
        <v>2E-3</v>
      </c>
      <c r="J597">
        <v>29385258</v>
      </c>
      <c r="K597">
        <v>1400</v>
      </c>
      <c r="L597">
        <f t="shared" si="10"/>
        <v>0</v>
      </c>
      <c r="M597">
        <f>+IF(DailyData[[#This Row],[Column1]]&gt;0,DailyData[[#This Row],[Column1]]-L584,0)</f>
        <v>0</v>
      </c>
      <c r="N597" s="1">
        <f>+IF(DailyData[[#This Row],[Column2]]=0,0,DailyData[[#This Row],[Date]])</f>
        <v>0</v>
      </c>
    </row>
    <row r="598" spans="3:14" x14ac:dyDescent="0.25">
      <c r="C598" s="1">
        <v>45901</v>
      </c>
      <c r="D598" s="2" t="s">
        <v>18</v>
      </c>
      <c r="E598">
        <v>9412</v>
      </c>
      <c r="F598">
        <v>0.32500000000000001</v>
      </c>
      <c r="G598">
        <v>0.33500000000000002</v>
      </c>
      <c r="H598">
        <v>0.32</v>
      </c>
      <c r="I598">
        <v>0.33</v>
      </c>
      <c r="J598">
        <v>114944</v>
      </c>
      <c r="K598">
        <v>3105.96</v>
      </c>
      <c r="L598">
        <f t="shared" si="10"/>
        <v>0</v>
      </c>
      <c r="M598">
        <f>+IF(DailyData[[#This Row],[Column1]]&gt;0,DailyData[[#This Row],[Column1]]-L585,0)</f>
        <v>0</v>
      </c>
      <c r="N598" s="1">
        <f>+IF(DailyData[[#This Row],[Column2]]=0,0,DailyData[[#This Row],[Date]])</f>
        <v>0</v>
      </c>
    </row>
    <row r="599" spans="3:14" x14ac:dyDescent="0.25">
      <c r="C599" s="1">
        <v>45901</v>
      </c>
      <c r="D599" s="2" t="s">
        <v>19</v>
      </c>
      <c r="E599">
        <v>6000</v>
      </c>
      <c r="F599">
        <v>0.22500000000000001</v>
      </c>
      <c r="G599">
        <v>0.25</v>
      </c>
      <c r="H599">
        <v>0.22500000000000001</v>
      </c>
      <c r="I599">
        <v>0.23</v>
      </c>
      <c r="J599">
        <v>511382</v>
      </c>
      <c r="K599">
        <v>1380</v>
      </c>
      <c r="L599">
        <f t="shared" si="10"/>
        <v>0</v>
      </c>
      <c r="M599">
        <f>+IF(DailyData[[#This Row],[Column1]]&gt;0,DailyData[[#This Row],[Column1]]-L586,0)</f>
        <v>0</v>
      </c>
      <c r="N599" s="1">
        <f>+IF(DailyData[[#This Row],[Column2]]=0,0,DailyData[[#This Row],[Date]])</f>
        <v>0</v>
      </c>
    </row>
    <row r="600" spans="3:14" x14ac:dyDescent="0.25">
      <c r="C600" s="1">
        <v>45901</v>
      </c>
      <c r="D600" s="2" t="s">
        <v>20</v>
      </c>
      <c r="E600">
        <v>0</v>
      </c>
      <c r="F600">
        <v>38.409999999999997</v>
      </c>
      <c r="G600">
        <v>39.020000000000003</v>
      </c>
      <c r="H600">
        <v>38.119999999999997</v>
      </c>
      <c r="I600">
        <v>38.25</v>
      </c>
      <c r="J600">
        <v>3250837</v>
      </c>
      <c r="K600">
        <v>0</v>
      </c>
      <c r="L600">
        <f t="shared" si="10"/>
        <v>0</v>
      </c>
      <c r="M600">
        <f>+IF(DailyData[[#This Row],[Column1]]&gt;0,DailyData[[#This Row],[Column1]]-L587,0)</f>
        <v>0</v>
      </c>
      <c r="N600" s="1">
        <f>+IF(DailyData[[#This Row],[Column2]]=0,0,DailyData[[#This Row],[Date]])</f>
        <v>0</v>
      </c>
    </row>
    <row r="601" spans="3:14" x14ac:dyDescent="0.25">
      <c r="C601" s="1">
        <v>45901</v>
      </c>
      <c r="D601" s="2" t="s">
        <v>21</v>
      </c>
      <c r="E601">
        <v>1288</v>
      </c>
      <c r="F601">
        <v>26.36</v>
      </c>
      <c r="G601">
        <v>26.4</v>
      </c>
      <c r="H601">
        <v>26.03</v>
      </c>
      <c r="I601">
        <v>26.13</v>
      </c>
      <c r="J601">
        <v>2955846</v>
      </c>
      <c r="K601">
        <v>33655.440000000002</v>
      </c>
      <c r="L601">
        <f t="shared" si="10"/>
        <v>1072169.99</v>
      </c>
      <c r="M601">
        <f>+IF(DailyData[[#This Row],[Column1]]&gt;0,DailyData[[#This Row],[Column1]]-L588,0)</f>
        <v>1302.9799999999814</v>
      </c>
      <c r="N601" s="1">
        <f>+IF(DailyData[[#This Row],[Column2]]=0,0,DailyData[[#This Row],[Date]])</f>
        <v>45901</v>
      </c>
    </row>
    <row r="602" spans="3:14" x14ac:dyDescent="0.25">
      <c r="C602" s="1">
        <v>45902</v>
      </c>
      <c r="D602" s="2" t="s">
        <v>9</v>
      </c>
      <c r="E602">
        <v>153181</v>
      </c>
      <c r="F602">
        <v>1.135</v>
      </c>
      <c r="G602">
        <v>1.165</v>
      </c>
      <c r="H602">
        <v>1.1299999999999999</v>
      </c>
      <c r="I602">
        <v>1.145</v>
      </c>
      <c r="J602">
        <v>5548835</v>
      </c>
      <c r="K602">
        <v>175392.24</v>
      </c>
      <c r="L602">
        <f t="shared" si="10"/>
        <v>0</v>
      </c>
      <c r="M602">
        <f>+IF(DailyData[[#This Row],[Column1]]&gt;0,DailyData[[#This Row],[Column1]]-L589,0)</f>
        <v>0</v>
      </c>
      <c r="N602" s="1">
        <f>+IF(DailyData[[#This Row],[Column2]]=0,0,DailyData[[#This Row],[Date]])</f>
        <v>0</v>
      </c>
    </row>
    <row r="603" spans="3:14" x14ac:dyDescent="0.25">
      <c r="C603" s="1">
        <v>45902</v>
      </c>
      <c r="D603" s="2" t="s">
        <v>10</v>
      </c>
      <c r="E603">
        <v>70000</v>
      </c>
      <c r="F603">
        <v>1.675</v>
      </c>
      <c r="G603">
        <v>1.675</v>
      </c>
      <c r="H603">
        <v>1.6479999999999999</v>
      </c>
      <c r="I603">
        <v>1.665</v>
      </c>
      <c r="J603">
        <v>5385734</v>
      </c>
      <c r="K603">
        <v>116550</v>
      </c>
      <c r="L603">
        <f t="shared" si="10"/>
        <v>0</v>
      </c>
      <c r="M603">
        <f>+IF(DailyData[[#This Row],[Column1]]&gt;0,DailyData[[#This Row],[Column1]]-L590,0)</f>
        <v>0</v>
      </c>
      <c r="N603" s="1">
        <f>+IF(DailyData[[#This Row],[Column2]]=0,0,DailyData[[#This Row],[Date]])</f>
        <v>0</v>
      </c>
    </row>
    <row r="604" spans="3:14" x14ac:dyDescent="0.25">
      <c r="C604" s="1">
        <v>45902</v>
      </c>
      <c r="D604" s="2" t="s">
        <v>11</v>
      </c>
      <c r="E604">
        <v>57458</v>
      </c>
      <c r="F604">
        <v>0.60499999999999998</v>
      </c>
      <c r="G604">
        <v>0.60499999999999998</v>
      </c>
      <c r="H604">
        <v>0.58499999999999996</v>
      </c>
      <c r="I604">
        <v>0.6</v>
      </c>
      <c r="J604">
        <v>172975</v>
      </c>
      <c r="K604">
        <v>34474.800000000003</v>
      </c>
      <c r="L604">
        <f t="shared" si="10"/>
        <v>0</v>
      </c>
      <c r="M604">
        <f>+IF(DailyData[[#This Row],[Column1]]&gt;0,DailyData[[#This Row],[Column1]]-L591,0)</f>
        <v>0</v>
      </c>
      <c r="N604" s="1">
        <f>+IF(DailyData[[#This Row],[Column2]]=0,0,DailyData[[#This Row],[Date]])</f>
        <v>0</v>
      </c>
    </row>
    <row r="605" spans="3:14" x14ac:dyDescent="0.25">
      <c r="C605" s="1">
        <v>45902</v>
      </c>
      <c r="D605" s="2" t="s">
        <v>12</v>
      </c>
      <c r="E605">
        <v>16361</v>
      </c>
      <c r="F605">
        <v>42.6</v>
      </c>
      <c r="G605">
        <v>43.19</v>
      </c>
      <c r="H605">
        <v>42.6</v>
      </c>
      <c r="I605">
        <v>42.85</v>
      </c>
      <c r="J605">
        <v>6959643</v>
      </c>
      <c r="K605">
        <v>701068.83</v>
      </c>
      <c r="L605">
        <f t="shared" si="10"/>
        <v>0</v>
      </c>
      <c r="M605">
        <f>+IF(DailyData[[#This Row],[Column1]]&gt;0,DailyData[[#This Row],[Column1]]-L592,0)</f>
        <v>0</v>
      </c>
      <c r="N605" s="1">
        <f>+IF(DailyData[[#This Row],[Column2]]=0,0,DailyData[[#This Row],[Date]])</f>
        <v>0</v>
      </c>
    </row>
    <row r="606" spans="3:14" x14ac:dyDescent="0.25">
      <c r="C606" s="1">
        <v>45902</v>
      </c>
      <c r="D606" s="2" t="s">
        <v>13</v>
      </c>
      <c r="E606">
        <v>44090</v>
      </c>
      <c r="F606">
        <v>1.2999999999999999E-2</v>
      </c>
      <c r="G606">
        <v>1.4E-2</v>
      </c>
      <c r="H606">
        <v>1.2999999999999999E-2</v>
      </c>
      <c r="I606">
        <v>1.2999999999999999E-2</v>
      </c>
      <c r="J606">
        <v>415473</v>
      </c>
      <c r="K606">
        <v>573.16999999999996</v>
      </c>
      <c r="L606">
        <f t="shared" si="10"/>
        <v>0</v>
      </c>
      <c r="M606">
        <f>+IF(DailyData[[#This Row],[Column1]]&gt;0,DailyData[[#This Row],[Column1]]-L593,0)</f>
        <v>0</v>
      </c>
      <c r="N606" s="1">
        <f>+IF(DailyData[[#This Row],[Column2]]=0,0,DailyData[[#This Row],[Date]])</f>
        <v>0</v>
      </c>
    </row>
    <row r="607" spans="3:14" x14ac:dyDescent="0.25">
      <c r="C607" s="1">
        <v>45902</v>
      </c>
      <c r="D607" s="2" t="s">
        <v>14</v>
      </c>
      <c r="E607">
        <v>0</v>
      </c>
      <c r="F607">
        <v>168.75</v>
      </c>
      <c r="G607">
        <v>171.7</v>
      </c>
      <c r="H607">
        <v>168.67</v>
      </c>
      <c r="I607">
        <v>170.46</v>
      </c>
      <c r="J607">
        <v>1294405</v>
      </c>
      <c r="K607">
        <v>0</v>
      </c>
      <c r="L607">
        <f t="shared" si="10"/>
        <v>0</v>
      </c>
      <c r="M607">
        <f>+IF(DailyData[[#This Row],[Column1]]&gt;0,DailyData[[#This Row],[Column1]]-L594,0)</f>
        <v>0</v>
      </c>
      <c r="N607" s="1">
        <f>+IF(DailyData[[#This Row],[Column2]]=0,0,DailyData[[#This Row],[Date]])</f>
        <v>0</v>
      </c>
    </row>
    <row r="608" spans="3:14" x14ac:dyDescent="0.25">
      <c r="C608" s="1">
        <v>45902</v>
      </c>
      <c r="D608" s="2" t="s">
        <v>15</v>
      </c>
      <c r="E608">
        <v>10000</v>
      </c>
      <c r="F608">
        <v>0.31</v>
      </c>
      <c r="G608">
        <v>0.32</v>
      </c>
      <c r="H608">
        <v>0.3</v>
      </c>
      <c r="I608">
        <v>0.31</v>
      </c>
      <c r="J608">
        <v>372748</v>
      </c>
      <c r="K608">
        <v>3100</v>
      </c>
      <c r="L608">
        <f t="shared" si="10"/>
        <v>0</v>
      </c>
      <c r="M608">
        <f>+IF(DailyData[[#This Row],[Column1]]&gt;0,DailyData[[#This Row],[Column1]]-L595,0)</f>
        <v>0</v>
      </c>
      <c r="N608" s="1">
        <f>+IF(DailyData[[#This Row],[Column2]]=0,0,DailyData[[#This Row],[Date]])</f>
        <v>0</v>
      </c>
    </row>
    <row r="609" spans="3:14" x14ac:dyDescent="0.25">
      <c r="C609" s="1">
        <v>45902</v>
      </c>
      <c r="D609" s="2" t="s">
        <v>16</v>
      </c>
      <c r="E609">
        <v>20000</v>
      </c>
      <c r="F609">
        <v>0.315</v>
      </c>
      <c r="G609">
        <v>0.315</v>
      </c>
      <c r="H609">
        <v>0.29799999999999999</v>
      </c>
      <c r="I609">
        <v>0.31</v>
      </c>
      <c r="J609">
        <v>174980</v>
      </c>
      <c r="K609">
        <v>6200</v>
      </c>
      <c r="L609">
        <f t="shared" si="10"/>
        <v>0</v>
      </c>
      <c r="M609">
        <f>+IF(DailyData[[#This Row],[Column1]]&gt;0,DailyData[[#This Row],[Column1]]-L596,0)</f>
        <v>0</v>
      </c>
      <c r="N609" s="1">
        <f>+IF(DailyData[[#This Row],[Column2]]=0,0,DailyData[[#This Row],[Date]])</f>
        <v>0</v>
      </c>
    </row>
    <row r="610" spans="3:14" x14ac:dyDescent="0.25">
      <c r="C610" s="1">
        <v>45902</v>
      </c>
      <c r="D610" s="2" t="s">
        <v>17</v>
      </c>
      <c r="E610">
        <v>700000</v>
      </c>
      <c r="F610">
        <v>2E-3</v>
      </c>
      <c r="G610">
        <v>3.0000000000000001E-3</v>
      </c>
      <c r="H610">
        <v>2E-3</v>
      </c>
      <c r="I610">
        <v>2E-3</v>
      </c>
      <c r="J610">
        <v>293360</v>
      </c>
      <c r="K610">
        <v>1400</v>
      </c>
      <c r="L610">
        <f t="shared" si="10"/>
        <v>0</v>
      </c>
      <c r="M610">
        <f>+IF(DailyData[[#This Row],[Column1]]&gt;0,DailyData[[#This Row],[Column1]]-L597,0)</f>
        <v>0</v>
      </c>
      <c r="N610" s="1">
        <f>+IF(DailyData[[#This Row],[Column2]]=0,0,DailyData[[#This Row],[Date]])</f>
        <v>0</v>
      </c>
    </row>
    <row r="611" spans="3:14" x14ac:dyDescent="0.25">
      <c r="C611" s="1">
        <v>45902</v>
      </c>
      <c r="D611" s="2" t="s">
        <v>18</v>
      </c>
      <c r="E611">
        <v>9412</v>
      </c>
      <c r="F611">
        <v>0.33</v>
      </c>
      <c r="G611">
        <v>0.33</v>
      </c>
      <c r="H611">
        <v>0.32500000000000001</v>
      </c>
      <c r="I611">
        <v>0.32500000000000001</v>
      </c>
      <c r="J611">
        <v>34147</v>
      </c>
      <c r="K611">
        <v>3058.9</v>
      </c>
      <c r="L611">
        <f t="shared" si="10"/>
        <v>0</v>
      </c>
      <c r="M611">
        <f>+IF(DailyData[[#This Row],[Column1]]&gt;0,DailyData[[#This Row],[Column1]]-L598,0)</f>
        <v>0</v>
      </c>
      <c r="N611" s="1">
        <f>+IF(DailyData[[#This Row],[Column2]]=0,0,DailyData[[#This Row],[Date]])</f>
        <v>0</v>
      </c>
    </row>
    <row r="612" spans="3:14" x14ac:dyDescent="0.25">
      <c r="C612" s="1">
        <v>45902</v>
      </c>
      <c r="D612" s="2" t="s">
        <v>19</v>
      </c>
      <c r="E612">
        <v>6000</v>
      </c>
      <c r="F612">
        <v>0.22500000000000001</v>
      </c>
      <c r="G612">
        <v>0.23</v>
      </c>
      <c r="H612">
        <v>0.215</v>
      </c>
      <c r="I612">
        <v>0.215</v>
      </c>
      <c r="J612">
        <v>35644</v>
      </c>
      <c r="K612">
        <v>1290</v>
      </c>
      <c r="L612">
        <f t="shared" si="10"/>
        <v>0</v>
      </c>
      <c r="M612">
        <f>+IF(DailyData[[#This Row],[Column1]]&gt;0,DailyData[[#This Row],[Column1]]-L599,0)</f>
        <v>0</v>
      </c>
      <c r="N612" s="1">
        <f>+IF(DailyData[[#This Row],[Column2]]=0,0,DailyData[[#This Row],[Date]])</f>
        <v>0</v>
      </c>
    </row>
    <row r="613" spans="3:14" x14ac:dyDescent="0.25">
      <c r="C613" s="1">
        <v>45902</v>
      </c>
      <c r="D613" s="2" t="s">
        <v>20</v>
      </c>
      <c r="E613">
        <v>0</v>
      </c>
      <c r="F613">
        <v>38.200000000000003</v>
      </c>
      <c r="G613">
        <v>38.880000000000003</v>
      </c>
      <c r="H613">
        <v>38.159999999999997</v>
      </c>
      <c r="I613">
        <v>38.57</v>
      </c>
      <c r="J613">
        <v>2948211</v>
      </c>
      <c r="K613">
        <v>0</v>
      </c>
      <c r="L613">
        <f t="shared" si="10"/>
        <v>0</v>
      </c>
      <c r="M613">
        <f>+IF(DailyData[[#This Row],[Column1]]&gt;0,DailyData[[#This Row],[Column1]]-L600,0)</f>
        <v>0</v>
      </c>
      <c r="N613" s="1">
        <f>+IF(DailyData[[#This Row],[Column2]]=0,0,DailyData[[#This Row],[Date]])</f>
        <v>0</v>
      </c>
    </row>
    <row r="614" spans="3:14" x14ac:dyDescent="0.25">
      <c r="C614" s="1">
        <v>45902</v>
      </c>
      <c r="D614" s="2" t="s">
        <v>21</v>
      </c>
      <c r="E614">
        <v>1288</v>
      </c>
      <c r="F614">
        <v>25.97</v>
      </c>
      <c r="G614">
        <v>26.16</v>
      </c>
      <c r="H614">
        <v>25.86</v>
      </c>
      <c r="I614">
        <v>26.15</v>
      </c>
      <c r="J614">
        <v>2814753</v>
      </c>
      <c r="K614">
        <v>33681.199999999997</v>
      </c>
      <c r="L614">
        <f t="shared" si="10"/>
        <v>1076789.1399999999</v>
      </c>
      <c r="M614">
        <f>+IF(DailyData[[#This Row],[Column1]]&gt;0,DailyData[[#This Row],[Column1]]-L601,0)</f>
        <v>4619.1499999999069</v>
      </c>
      <c r="N614" s="1">
        <f>+IF(DailyData[[#This Row],[Column2]]=0,0,DailyData[[#This Row],[Date]])</f>
        <v>45902</v>
      </c>
    </row>
    <row r="615" spans="3:14" x14ac:dyDescent="0.25">
      <c r="C615" s="1">
        <v>45903</v>
      </c>
      <c r="D615" s="2" t="s">
        <v>9</v>
      </c>
      <c r="E615">
        <v>153181</v>
      </c>
      <c r="F615">
        <v>1.1399999999999999</v>
      </c>
      <c r="G615">
        <v>1.1950000000000001</v>
      </c>
      <c r="H615">
        <v>1.125</v>
      </c>
      <c r="I615">
        <v>1.175</v>
      </c>
      <c r="J615">
        <v>15318791</v>
      </c>
      <c r="K615">
        <v>179987.67</v>
      </c>
      <c r="L615">
        <f t="shared" si="10"/>
        <v>0</v>
      </c>
      <c r="M615">
        <f>+IF(DailyData[[#This Row],[Column1]]&gt;0,DailyData[[#This Row],[Column1]]-L602,0)</f>
        <v>0</v>
      </c>
      <c r="N615" s="1">
        <f>+IF(DailyData[[#This Row],[Column2]]=0,0,DailyData[[#This Row],[Date]])</f>
        <v>0</v>
      </c>
    </row>
    <row r="616" spans="3:14" x14ac:dyDescent="0.25">
      <c r="C616" s="1">
        <v>45903</v>
      </c>
      <c r="D616" s="2" t="s">
        <v>10</v>
      </c>
      <c r="E616">
        <v>70000</v>
      </c>
      <c r="F616">
        <v>1.655</v>
      </c>
      <c r="G616">
        <v>1.67</v>
      </c>
      <c r="H616">
        <v>1.625</v>
      </c>
      <c r="I616">
        <v>1.63</v>
      </c>
      <c r="J616">
        <v>6308478</v>
      </c>
      <c r="K616">
        <v>114100</v>
      </c>
      <c r="L616">
        <f t="shared" si="10"/>
        <v>0</v>
      </c>
      <c r="M616">
        <f>+IF(DailyData[[#This Row],[Column1]]&gt;0,DailyData[[#This Row],[Column1]]-L603,0)</f>
        <v>0</v>
      </c>
      <c r="N616" s="1">
        <f>+IF(DailyData[[#This Row],[Column2]]=0,0,DailyData[[#This Row],[Date]])</f>
        <v>0</v>
      </c>
    </row>
    <row r="617" spans="3:14" x14ac:dyDescent="0.25">
      <c r="C617" s="1">
        <v>45903</v>
      </c>
      <c r="D617" s="2" t="s">
        <v>11</v>
      </c>
      <c r="E617">
        <v>57458</v>
      </c>
      <c r="F617">
        <v>0.59499999999999997</v>
      </c>
      <c r="G617">
        <v>0.6</v>
      </c>
      <c r="H617">
        <v>0.56999999999999995</v>
      </c>
      <c r="I617">
        <v>0.56999999999999995</v>
      </c>
      <c r="J617">
        <v>1072043</v>
      </c>
      <c r="K617">
        <v>32751.06</v>
      </c>
      <c r="L617">
        <f t="shared" si="10"/>
        <v>0</v>
      </c>
      <c r="M617">
        <f>+IF(DailyData[[#This Row],[Column1]]&gt;0,DailyData[[#This Row],[Column1]]-L604,0)</f>
        <v>0</v>
      </c>
      <c r="N617" s="1">
        <f>+IF(DailyData[[#This Row],[Column2]]=0,0,DailyData[[#This Row],[Date]])</f>
        <v>0</v>
      </c>
    </row>
    <row r="618" spans="3:14" x14ac:dyDescent="0.25">
      <c r="C618" s="1">
        <v>45903</v>
      </c>
      <c r="D618" s="2" t="s">
        <v>12</v>
      </c>
      <c r="E618">
        <v>16361</v>
      </c>
      <c r="F618">
        <v>42.7</v>
      </c>
      <c r="G618">
        <v>43.01</v>
      </c>
      <c r="H618">
        <v>42.25</v>
      </c>
      <c r="I618">
        <v>42.29</v>
      </c>
      <c r="J618">
        <v>8236801</v>
      </c>
      <c r="K618">
        <v>691906.7</v>
      </c>
      <c r="L618">
        <f t="shared" si="10"/>
        <v>0</v>
      </c>
      <c r="M618">
        <f>+IF(DailyData[[#This Row],[Column1]]&gt;0,DailyData[[#This Row],[Column1]]-L605,0)</f>
        <v>0</v>
      </c>
      <c r="N618" s="1">
        <f>+IF(DailyData[[#This Row],[Column2]]=0,0,DailyData[[#This Row],[Date]])</f>
        <v>0</v>
      </c>
    </row>
    <row r="619" spans="3:14" x14ac:dyDescent="0.25">
      <c r="C619" s="1">
        <v>45903</v>
      </c>
      <c r="D619" s="2" t="s">
        <v>13</v>
      </c>
      <c r="E619">
        <v>44090</v>
      </c>
      <c r="F619">
        <v>1.2999999999999999E-2</v>
      </c>
      <c r="G619">
        <v>1.4E-2</v>
      </c>
      <c r="H619">
        <v>1.2999999999999999E-2</v>
      </c>
      <c r="I619">
        <v>1.2999999999999999E-2</v>
      </c>
      <c r="J619">
        <v>281532</v>
      </c>
      <c r="K619">
        <v>573.16999999999996</v>
      </c>
      <c r="L619">
        <f t="shared" si="10"/>
        <v>0</v>
      </c>
      <c r="M619">
        <f>+IF(DailyData[[#This Row],[Column1]]&gt;0,DailyData[[#This Row],[Column1]]-L606,0)</f>
        <v>0</v>
      </c>
      <c r="N619" s="1">
        <f>+IF(DailyData[[#This Row],[Column2]]=0,0,DailyData[[#This Row],[Date]])</f>
        <v>0</v>
      </c>
    </row>
    <row r="620" spans="3:14" x14ac:dyDescent="0.25">
      <c r="C620" s="1">
        <v>45903</v>
      </c>
      <c r="D620" s="2" t="s">
        <v>14</v>
      </c>
      <c r="E620">
        <v>0</v>
      </c>
      <c r="F620">
        <v>169</v>
      </c>
      <c r="G620">
        <v>169.28</v>
      </c>
      <c r="H620">
        <v>164.3</v>
      </c>
      <c r="I620">
        <v>164.55</v>
      </c>
      <c r="J620">
        <v>2536459</v>
      </c>
      <c r="K620">
        <v>0</v>
      </c>
      <c r="L620">
        <f t="shared" si="10"/>
        <v>0</v>
      </c>
      <c r="M620">
        <f>+IF(DailyData[[#This Row],[Column1]]&gt;0,DailyData[[#This Row],[Column1]]-L607,0)</f>
        <v>0</v>
      </c>
      <c r="N620" s="1">
        <f>+IF(DailyData[[#This Row],[Column2]]=0,0,DailyData[[#This Row],[Date]])</f>
        <v>0</v>
      </c>
    </row>
    <row r="621" spans="3:14" x14ac:dyDescent="0.25">
      <c r="C621" s="1">
        <v>45903</v>
      </c>
      <c r="D621" s="2" t="s">
        <v>15</v>
      </c>
      <c r="E621">
        <v>10000</v>
      </c>
      <c r="F621">
        <v>0.31</v>
      </c>
      <c r="G621">
        <v>0.31</v>
      </c>
      <c r="H621">
        <v>0.3</v>
      </c>
      <c r="I621">
        <v>0.30499999999999999</v>
      </c>
      <c r="J621">
        <v>658603</v>
      </c>
      <c r="K621">
        <v>3050</v>
      </c>
      <c r="L621">
        <f t="shared" si="10"/>
        <v>0</v>
      </c>
      <c r="M621">
        <f>+IF(DailyData[[#This Row],[Column1]]&gt;0,DailyData[[#This Row],[Column1]]-L608,0)</f>
        <v>0</v>
      </c>
      <c r="N621" s="1">
        <f>+IF(DailyData[[#This Row],[Column2]]=0,0,DailyData[[#This Row],[Date]])</f>
        <v>0</v>
      </c>
    </row>
    <row r="622" spans="3:14" x14ac:dyDescent="0.25">
      <c r="C622" s="1">
        <v>45903</v>
      </c>
      <c r="D622" s="2" t="s">
        <v>16</v>
      </c>
      <c r="E622">
        <v>20000</v>
      </c>
      <c r="F622">
        <v>0.31</v>
      </c>
      <c r="G622">
        <v>0.34</v>
      </c>
      <c r="H622">
        <v>0.28999999999999998</v>
      </c>
      <c r="I622">
        <v>0.34</v>
      </c>
      <c r="J622">
        <v>570625</v>
      </c>
      <c r="K622">
        <v>6800</v>
      </c>
      <c r="L622">
        <f t="shared" si="10"/>
        <v>0</v>
      </c>
      <c r="M622">
        <f>+IF(DailyData[[#This Row],[Column1]]&gt;0,DailyData[[#This Row],[Column1]]-L609,0)</f>
        <v>0</v>
      </c>
      <c r="N622" s="1">
        <f>+IF(DailyData[[#This Row],[Column2]]=0,0,DailyData[[#This Row],[Date]])</f>
        <v>0</v>
      </c>
    </row>
    <row r="623" spans="3:14" x14ac:dyDescent="0.25">
      <c r="C623" s="1">
        <v>45903</v>
      </c>
      <c r="D623" s="2" t="s">
        <v>17</v>
      </c>
      <c r="E623">
        <v>700000</v>
      </c>
      <c r="F623">
        <v>2E-3</v>
      </c>
      <c r="G623">
        <v>2E-3</v>
      </c>
      <c r="H623">
        <v>2E-3</v>
      </c>
      <c r="I623">
        <v>2E-3</v>
      </c>
      <c r="J623">
        <v>144318</v>
      </c>
      <c r="K623">
        <v>1750</v>
      </c>
      <c r="L623">
        <f t="shared" si="10"/>
        <v>0</v>
      </c>
      <c r="M623">
        <f>+IF(DailyData[[#This Row],[Column1]]&gt;0,DailyData[[#This Row],[Column1]]-L610,0)</f>
        <v>0</v>
      </c>
      <c r="N623" s="1">
        <f>+IF(DailyData[[#This Row],[Column2]]=0,0,DailyData[[#This Row],[Date]])</f>
        <v>0</v>
      </c>
    </row>
    <row r="624" spans="3:14" x14ac:dyDescent="0.25">
      <c r="C624" s="1">
        <v>45903</v>
      </c>
      <c r="D624" s="2" t="s">
        <v>18</v>
      </c>
      <c r="E624">
        <v>9412</v>
      </c>
      <c r="F624">
        <v>0.33</v>
      </c>
      <c r="G624">
        <v>0.33</v>
      </c>
      <c r="H624">
        <v>0.315</v>
      </c>
      <c r="I624">
        <v>0.315</v>
      </c>
      <c r="J624">
        <v>562902</v>
      </c>
      <c r="K624">
        <v>2964.78</v>
      </c>
      <c r="L624">
        <f t="shared" si="10"/>
        <v>0</v>
      </c>
      <c r="M624">
        <f>+IF(DailyData[[#This Row],[Column1]]&gt;0,DailyData[[#This Row],[Column1]]-L611,0)</f>
        <v>0</v>
      </c>
      <c r="N624" s="1">
        <f>+IF(DailyData[[#This Row],[Column2]]=0,0,DailyData[[#This Row],[Date]])</f>
        <v>0</v>
      </c>
    </row>
    <row r="625" spans="3:14" x14ac:dyDescent="0.25">
      <c r="C625" s="1">
        <v>45903</v>
      </c>
      <c r="D625" s="2" t="s">
        <v>19</v>
      </c>
      <c r="E625">
        <v>6000</v>
      </c>
      <c r="F625">
        <v>0.215</v>
      </c>
      <c r="G625">
        <v>0.23499999999999999</v>
      </c>
      <c r="H625">
        <v>0.18</v>
      </c>
      <c r="I625">
        <v>0.185</v>
      </c>
      <c r="J625">
        <v>255144</v>
      </c>
      <c r="K625">
        <v>1110</v>
      </c>
      <c r="L625">
        <f t="shared" si="10"/>
        <v>0</v>
      </c>
      <c r="M625">
        <f>+IF(DailyData[[#This Row],[Column1]]&gt;0,DailyData[[#This Row],[Column1]]-L612,0)</f>
        <v>0</v>
      </c>
      <c r="N625" s="1">
        <f>+IF(DailyData[[#This Row],[Column2]]=0,0,DailyData[[#This Row],[Date]])</f>
        <v>0</v>
      </c>
    </row>
    <row r="626" spans="3:14" x14ac:dyDescent="0.25">
      <c r="C626" s="1">
        <v>45903</v>
      </c>
      <c r="D626" s="2" t="s">
        <v>20</v>
      </c>
      <c r="E626">
        <v>0</v>
      </c>
      <c r="F626">
        <v>38.299999999999997</v>
      </c>
      <c r="G626">
        <v>38.44</v>
      </c>
      <c r="H626">
        <v>37.11</v>
      </c>
      <c r="I626">
        <v>37.159999999999997</v>
      </c>
      <c r="J626">
        <v>5352406</v>
      </c>
      <c r="K626">
        <v>0</v>
      </c>
      <c r="L626">
        <f t="shared" si="10"/>
        <v>0</v>
      </c>
      <c r="M626">
        <f>+IF(DailyData[[#This Row],[Column1]]&gt;0,DailyData[[#This Row],[Column1]]-L613,0)</f>
        <v>0</v>
      </c>
      <c r="N626" s="1">
        <f>+IF(DailyData[[#This Row],[Column2]]=0,0,DailyData[[#This Row],[Date]])</f>
        <v>0</v>
      </c>
    </row>
    <row r="627" spans="3:14" x14ac:dyDescent="0.25">
      <c r="C627" s="1">
        <v>45903</v>
      </c>
      <c r="D627" s="2" t="s">
        <v>21</v>
      </c>
      <c r="E627">
        <v>1288</v>
      </c>
      <c r="F627">
        <v>26.34</v>
      </c>
      <c r="G627">
        <v>26.53</v>
      </c>
      <c r="H627">
        <v>25.83</v>
      </c>
      <c r="I627">
        <v>25.95</v>
      </c>
      <c r="J627">
        <v>5350111</v>
      </c>
      <c r="K627">
        <v>33423.599999999999</v>
      </c>
      <c r="L627">
        <f t="shared" si="10"/>
        <v>1068416.98</v>
      </c>
      <c r="M627">
        <f>+IF(DailyData[[#This Row],[Column1]]&gt;0,DailyData[[#This Row],[Column1]]-L614,0)</f>
        <v>-8372.1599999999162</v>
      </c>
      <c r="N627" s="1">
        <f>+IF(DailyData[[#This Row],[Column2]]=0,0,DailyData[[#This Row],[Date]])</f>
        <v>45903</v>
      </c>
    </row>
    <row r="628" spans="3:14" x14ac:dyDescent="0.25">
      <c r="C628" s="1">
        <v>45904</v>
      </c>
      <c r="D628" s="2" t="s">
        <v>9</v>
      </c>
      <c r="E628">
        <v>153181</v>
      </c>
      <c r="F628">
        <v>1.1599999999999999</v>
      </c>
      <c r="G628">
        <v>1.1830000000000001</v>
      </c>
      <c r="H628">
        <v>1.125</v>
      </c>
      <c r="I628">
        <v>1.1299999999999999</v>
      </c>
      <c r="J628">
        <v>11186380</v>
      </c>
      <c r="K628">
        <v>173094.53</v>
      </c>
      <c r="L628">
        <f t="shared" si="10"/>
        <v>0</v>
      </c>
      <c r="M628">
        <f>+IF(DailyData[[#This Row],[Column1]]&gt;0,DailyData[[#This Row],[Column1]]-L615,0)</f>
        <v>0</v>
      </c>
      <c r="N628" s="1">
        <f>+IF(DailyData[[#This Row],[Column2]]=0,0,DailyData[[#This Row],[Date]])</f>
        <v>0</v>
      </c>
    </row>
    <row r="629" spans="3:14" x14ac:dyDescent="0.25">
      <c r="C629" s="1">
        <v>45904</v>
      </c>
      <c r="D629" s="2" t="s">
        <v>10</v>
      </c>
      <c r="E629">
        <v>70000</v>
      </c>
      <c r="F629">
        <v>1.64</v>
      </c>
      <c r="G629">
        <v>1.68</v>
      </c>
      <c r="H629">
        <v>1.64</v>
      </c>
      <c r="I629">
        <v>1.67</v>
      </c>
      <c r="J629">
        <v>6654458</v>
      </c>
      <c r="K629">
        <v>116900</v>
      </c>
      <c r="L629">
        <f t="shared" si="10"/>
        <v>0</v>
      </c>
      <c r="M629">
        <f>+IF(DailyData[[#This Row],[Column1]]&gt;0,DailyData[[#This Row],[Column1]]-L616,0)</f>
        <v>0</v>
      </c>
      <c r="N629" s="1">
        <f>+IF(DailyData[[#This Row],[Column2]]=0,0,DailyData[[#This Row],[Date]])</f>
        <v>0</v>
      </c>
    </row>
    <row r="630" spans="3:14" x14ac:dyDescent="0.25">
      <c r="C630" s="1">
        <v>45904</v>
      </c>
      <c r="D630" s="2" t="s">
        <v>11</v>
      </c>
      <c r="E630">
        <v>57458</v>
      </c>
      <c r="F630">
        <v>0.57499999999999996</v>
      </c>
      <c r="G630">
        <v>0.57999999999999996</v>
      </c>
      <c r="H630">
        <v>0.55000000000000004</v>
      </c>
      <c r="I630">
        <v>0.55500000000000005</v>
      </c>
      <c r="J630">
        <v>643051</v>
      </c>
      <c r="K630">
        <v>31889.19</v>
      </c>
      <c r="L630">
        <f t="shared" si="10"/>
        <v>0</v>
      </c>
      <c r="M630">
        <f>+IF(DailyData[[#This Row],[Column1]]&gt;0,DailyData[[#This Row],[Column1]]-L617,0)</f>
        <v>0</v>
      </c>
      <c r="N630" s="1">
        <f>+IF(DailyData[[#This Row],[Column2]]=0,0,DailyData[[#This Row],[Date]])</f>
        <v>0</v>
      </c>
    </row>
    <row r="631" spans="3:14" x14ac:dyDescent="0.25">
      <c r="C631" s="1">
        <v>45904</v>
      </c>
      <c r="D631" s="2" t="s">
        <v>12</v>
      </c>
      <c r="E631">
        <v>16361</v>
      </c>
      <c r="F631">
        <v>41.75</v>
      </c>
      <c r="G631">
        <v>42.11</v>
      </c>
      <c r="H631">
        <v>41.66</v>
      </c>
      <c r="I631">
        <v>41.98</v>
      </c>
      <c r="J631">
        <v>8318138</v>
      </c>
      <c r="K631">
        <v>686834.77</v>
      </c>
      <c r="L631">
        <f t="shared" si="10"/>
        <v>0</v>
      </c>
      <c r="M631">
        <f>+IF(DailyData[[#This Row],[Column1]]&gt;0,DailyData[[#This Row],[Column1]]-L618,0)</f>
        <v>0</v>
      </c>
      <c r="N631" s="1">
        <f>+IF(DailyData[[#This Row],[Column2]]=0,0,DailyData[[#This Row],[Date]])</f>
        <v>0</v>
      </c>
    </row>
    <row r="632" spans="3:14" x14ac:dyDescent="0.25">
      <c r="C632" s="1">
        <v>45904</v>
      </c>
      <c r="D632" s="2" t="s">
        <v>13</v>
      </c>
      <c r="E632">
        <v>44090</v>
      </c>
      <c r="F632">
        <v>1.2999999999999999E-2</v>
      </c>
      <c r="G632">
        <v>1.4E-2</v>
      </c>
      <c r="H632">
        <v>1.2999999999999999E-2</v>
      </c>
      <c r="I632">
        <v>1.2999999999999999E-2</v>
      </c>
      <c r="J632">
        <v>160811</v>
      </c>
      <c r="K632">
        <v>573.16999999999996</v>
      </c>
      <c r="L632">
        <f t="shared" si="10"/>
        <v>0</v>
      </c>
      <c r="M632">
        <f>+IF(DailyData[[#This Row],[Column1]]&gt;0,DailyData[[#This Row],[Column1]]-L619,0)</f>
        <v>0</v>
      </c>
      <c r="N632" s="1">
        <f>+IF(DailyData[[#This Row],[Column2]]=0,0,DailyData[[#This Row],[Date]])</f>
        <v>0</v>
      </c>
    </row>
    <row r="633" spans="3:14" x14ac:dyDescent="0.25">
      <c r="C633" s="1">
        <v>45904</v>
      </c>
      <c r="D633" s="2" t="s">
        <v>14</v>
      </c>
      <c r="E633">
        <v>0</v>
      </c>
      <c r="F633">
        <v>166.05</v>
      </c>
      <c r="G633">
        <v>168.215</v>
      </c>
      <c r="H633">
        <v>165.01</v>
      </c>
      <c r="I633">
        <v>168</v>
      </c>
      <c r="J633">
        <v>1657956</v>
      </c>
      <c r="K633">
        <v>0</v>
      </c>
      <c r="L633">
        <f t="shared" si="10"/>
        <v>0</v>
      </c>
      <c r="M633">
        <f>+IF(DailyData[[#This Row],[Column1]]&gt;0,DailyData[[#This Row],[Column1]]-L620,0)</f>
        <v>0</v>
      </c>
      <c r="N633" s="1">
        <f>+IF(DailyData[[#This Row],[Column2]]=0,0,DailyData[[#This Row],[Date]])</f>
        <v>0</v>
      </c>
    </row>
    <row r="634" spans="3:14" x14ac:dyDescent="0.25">
      <c r="C634" s="1">
        <v>45904</v>
      </c>
      <c r="D634" s="2" t="s">
        <v>15</v>
      </c>
      <c r="E634">
        <v>10000</v>
      </c>
      <c r="F634">
        <v>0.30499999999999999</v>
      </c>
      <c r="G634">
        <v>0.30499999999999999</v>
      </c>
      <c r="H634">
        <v>0.28999999999999998</v>
      </c>
      <c r="I634">
        <v>0.29499999999999998</v>
      </c>
      <c r="J634">
        <v>698839</v>
      </c>
      <c r="K634">
        <v>2950</v>
      </c>
      <c r="L634">
        <f t="shared" si="10"/>
        <v>0</v>
      </c>
      <c r="M634">
        <f>+IF(DailyData[[#This Row],[Column1]]&gt;0,DailyData[[#This Row],[Column1]]-L621,0)</f>
        <v>0</v>
      </c>
      <c r="N634" s="1">
        <f>+IF(DailyData[[#This Row],[Column2]]=0,0,DailyData[[#This Row],[Date]])</f>
        <v>0</v>
      </c>
    </row>
    <row r="635" spans="3:14" x14ac:dyDescent="0.25">
      <c r="C635" s="1">
        <v>45904</v>
      </c>
      <c r="D635" s="2" t="s">
        <v>16</v>
      </c>
      <c r="E635">
        <v>20000</v>
      </c>
      <c r="F635">
        <v>0.33500000000000002</v>
      </c>
      <c r="G635">
        <v>0.34499999999999997</v>
      </c>
      <c r="H635">
        <v>0.33500000000000002</v>
      </c>
      <c r="I635">
        <v>0.34499999999999997</v>
      </c>
      <c r="J635">
        <v>262528</v>
      </c>
      <c r="K635">
        <v>6900</v>
      </c>
      <c r="L635">
        <f t="shared" si="10"/>
        <v>0</v>
      </c>
      <c r="M635">
        <f>+IF(DailyData[[#This Row],[Column1]]&gt;0,DailyData[[#This Row],[Column1]]-L622,0)</f>
        <v>0</v>
      </c>
      <c r="N635" s="1">
        <f>+IF(DailyData[[#This Row],[Column2]]=0,0,DailyData[[#This Row],[Date]])</f>
        <v>0</v>
      </c>
    </row>
    <row r="636" spans="3:14" x14ac:dyDescent="0.25">
      <c r="C636" s="1">
        <v>45904</v>
      </c>
      <c r="D636" s="2" t="s">
        <v>17</v>
      </c>
      <c r="E636">
        <v>700000</v>
      </c>
      <c r="F636">
        <v>3.0000000000000001E-3</v>
      </c>
      <c r="G636">
        <v>3.0000000000000001E-3</v>
      </c>
      <c r="H636">
        <v>2E-3</v>
      </c>
      <c r="I636">
        <v>2E-3</v>
      </c>
      <c r="J636">
        <v>1075272</v>
      </c>
      <c r="K636">
        <v>1750</v>
      </c>
      <c r="L636">
        <f t="shared" si="10"/>
        <v>0</v>
      </c>
      <c r="M636">
        <f>+IF(DailyData[[#This Row],[Column1]]&gt;0,DailyData[[#This Row],[Column1]]-L623,0)</f>
        <v>0</v>
      </c>
      <c r="N636" s="1">
        <f>+IF(DailyData[[#This Row],[Column2]]=0,0,DailyData[[#This Row],[Date]])</f>
        <v>0</v>
      </c>
    </row>
    <row r="637" spans="3:14" x14ac:dyDescent="0.25">
      <c r="C637" s="1">
        <v>45904</v>
      </c>
      <c r="D637" s="2" t="s">
        <v>18</v>
      </c>
      <c r="E637">
        <v>9412</v>
      </c>
      <c r="F637">
        <v>0.32500000000000001</v>
      </c>
      <c r="G637">
        <v>0.32500000000000001</v>
      </c>
      <c r="H637">
        <v>0.315</v>
      </c>
      <c r="I637">
        <v>0.315</v>
      </c>
      <c r="J637">
        <v>161932</v>
      </c>
      <c r="K637">
        <v>2964.78</v>
      </c>
      <c r="L637">
        <f t="shared" si="10"/>
        <v>0</v>
      </c>
      <c r="M637">
        <f>+IF(DailyData[[#This Row],[Column1]]&gt;0,DailyData[[#This Row],[Column1]]-L624,0)</f>
        <v>0</v>
      </c>
      <c r="N637" s="1">
        <f>+IF(DailyData[[#This Row],[Column2]]=0,0,DailyData[[#This Row],[Date]])</f>
        <v>0</v>
      </c>
    </row>
    <row r="638" spans="3:14" x14ac:dyDescent="0.25">
      <c r="C638" s="1">
        <v>45904</v>
      </c>
      <c r="D638" s="2" t="s">
        <v>19</v>
      </c>
      <c r="E638">
        <v>6000</v>
      </c>
      <c r="F638">
        <v>0.18</v>
      </c>
      <c r="G638">
        <v>0.19500000000000001</v>
      </c>
      <c r="H638">
        <v>0.16500000000000001</v>
      </c>
      <c r="I638">
        <v>0.185</v>
      </c>
      <c r="J638">
        <v>331370</v>
      </c>
      <c r="K638">
        <v>1110</v>
      </c>
      <c r="L638">
        <f t="shared" si="10"/>
        <v>0</v>
      </c>
      <c r="M638">
        <f>+IF(DailyData[[#This Row],[Column1]]&gt;0,DailyData[[#This Row],[Column1]]-L625,0)</f>
        <v>0</v>
      </c>
      <c r="N638" s="1">
        <f>+IF(DailyData[[#This Row],[Column2]]=0,0,DailyData[[#This Row],[Date]])</f>
        <v>0</v>
      </c>
    </row>
    <row r="639" spans="3:14" x14ac:dyDescent="0.25">
      <c r="C639" s="1">
        <v>45904</v>
      </c>
      <c r="D639" s="2" t="s">
        <v>20</v>
      </c>
      <c r="E639">
        <v>0</v>
      </c>
      <c r="F639">
        <v>37.72</v>
      </c>
      <c r="G639">
        <v>38.06</v>
      </c>
      <c r="H639">
        <v>37.51</v>
      </c>
      <c r="I639">
        <v>37.9</v>
      </c>
      <c r="J639">
        <v>3716677</v>
      </c>
      <c r="K639">
        <v>0</v>
      </c>
      <c r="L639">
        <f t="shared" si="10"/>
        <v>0</v>
      </c>
      <c r="M639">
        <f>+IF(DailyData[[#This Row],[Column1]]&gt;0,DailyData[[#This Row],[Column1]]-L626,0)</f>
        <v>0</v>
      </c>
      <c r="N639" s="1">
        <f>+IF(DailyData[[#This Row],[Column2]]=0,0,DailyData[[#This Row],[Date]])</f>
        <v>0</v>
      </c>
    </row>
    <row r="640" spans="3:14" x14ac:dyDescent="0.25">
      <c r="C640" s="1">
        <v>45904</v>
      </c>
      <c r="D640" s="2" t="s">
        <v>21</v>
      </c>
      <c r="E640">
        <v>1288</v>
      </c>
      <c r="F640">
        <v>25.42</v>
      </c>
      <c r="G640">
        <v>25.79</v>
      </c>
      <c r="H640">
        <v>25.26</v>
      </c>
      <c r="I640">
        <v>25.77</v>
      </c>
      <c r="J640">
        <v>4675934</v>
      </c>
      <c r="K640">
        <v>33191.760000000002</v>
      </c>
      <c r="L640">
        <f t="shared" si="10"/>
        <v>1058158.2</v>
      </c>
      <c r="M640">
        <f>+IF(DailyData[[#This Row],[Column1]]&gt;0,DailyData[[#This Row],[Column1]]-L627,0)</f>
        <v>-10258.780000000028</v>
      </c>
      <c r="N640" s="1">
        <f>+IF(DailyData[[#This Row],[Column2]]=0,0,DailyData[[#This Row],[Date]])</f>
        <v>45904</v>
      </c>
    </row>
    <row r="641" spans="3:14" x14ac:dyDescent="0.25">
      <c r="C641" s="1">
        <v>45905</v>
      </c>
      <c r="D641" s="2" t="s">
        <v>9</v>
      </c>
      <c r="E641">
        <v>153181</v>
      </c>
      <c r="F641">
        <v>1.105</v>
      </c>
      <c r="G641">
        <v>1.1299999999999999</v>
      </c>
      <c r="H641">
        <v>1.085</v>
      </c>
      <c r="I641">
        <v>1.1200000000000001</v>
      </c>
      <c r="J641">
        <v>10863191</v>
      </c>
      <c r="K641">
        <v>171562.72</v>
      </c>
      <c r="L641">
        <f t="shared" si="10"/>
        <v>0</v>
      </c>
      <c r="M641">
        <f>+IF(DailyData[[#This Row],[Column1]]&gt;0,DailyData[[#This Row],[Column1]]-L628,0)</f>
        <v>0</v>
      </c>
      <c r="N641" s="1">
        <f>+IF(DailyData[[#This Row],[Column2]]=0,0,DailyData[[#This Row],[Date]])</f>
        <v>0</v>
      </c>
    </row>
    <row r="642" spans="3:14" x14ac:dyDescent="0.25">
      <c r="C642" s="1">
        <v>45905</v>
      </c>
      <c r="D642" s="2" t="s">
        <v>10</v>
      </c>
      <c r="E642">
        <v>70000</v>
      </c>
      <c r="F642">
        <v>1.6850000000000001</v>
      </c>
      <c r="G642">
        <v>1.6950000000000001</v>
      </c>
      <c r="H642">
        <v>1.665</v>
      </c>
      <c r="I642">
        <v>1.6850000000000001</v>
      </c>
      <c r="J642">
        <v>4747946</v>
      </c>
      <c r="K642">
        <v>117950</v>
      </c>
      <c r="L642">
        <f t="shared" si="10"/>
        <v>0</v>
      </c>
      <c r="M642">
        <f>+IF(DailyData[[#This Row],[Column1]]&gt;0,DailyData[[#This Row],[Column1]]-L629,0)</f>
        <v>0</v>
      </c>
      <c r="N642" s="1">
        <f>+IF(DailyData[[#This Row],[Column2]]=0,0,DailyData[[#This Row],[Date]])</f>
        <v>0</v>
      </c>
    </row>
    <row r="643" spans="3:14" x14ac:dyDescent="0.25">
      <c r="C643" s="1">
        <v>45905</v>
      </c>
      <c r="D643" s="2" t="s">
        <v>11</v>
      </c>
      <c r="E643">
        <v>57458</v>
      </c>
      <c r="F643">
        <v>0.56499999999999995</v>
      </c>
      <c r="G643">
        <v>0.56499999999999995</v>
      </c>
      <c r="H643">
        <v>0.55000000000000004</v>
      </c>
      <c r="I643">
        <v>0.55000000000000004</v>
      </c>
      <c r="J643">
        <v>193711</v>
      </c>
      <c r="K643">
        <v>31601.9</v>
      </c>
      <c r="L643">
        <f t="shared" si="10"/>
        <v>0</v>
      </c>
      <c r="M643">
        <f>+IF(DailyData[[#This Row],[Column1]]&gt;0,DailyData[[#This Row],[Column1]]-L630,0)</f>
        <v>0</v>
      </c>
      <c r="N643" s="1">
        <f>+IF(DailyData[[#This Row],[Column2]]=0,0,DailyData[[#This Row],[Date]])</f>
        <v>0</v>
      </c>
    </row>
    <row r="644" spans="3:14" x14ac:dyDescent="0.25">
      <c r="C644" s="1">
        <v>45905</v>
      </c>
      <c r="D644" s="2" t="s">
        <v>12</v>
      </c>
      <c r="E644">
        <v>16361</v>
      </c>
      <c r="F644">
        <v>41.4</v>
      </c>
      <c r="G644">
        <v>41.61</v>
      </c>
      <c r="H644">
        <v>41.33</v>
      </c>
      <c r="I644">
        <v>41.61</v>
      </c>
      <c r="J644">
        <v>8268770</v>
      </c>
      <c r="K644">
        <v>680781.22</v>
      </c>
      <c r="L644">
        <f t="shared" si="10"/>
        <v>0</v>
      </c>
      <c r="M644">
        <f>+IF(DailyData[[#This Row],[Column1]]&gt;0,DailyData[[#This Row],[Column1]]-L631,0)</f>
        <v>0</v>
      </c>
      <c r="N644" s="1">
        <f>+IF(DailyData[[#This Row],[Column2]]=0,0,DailyData[[#This Row],[Date]])</f>
        <v>0</v>
      </c>
    </row>
    <row r="645" spans="3:14" x14ac:dyDescent="0.25">
      <c r="C645" s="1">
        <v>45905</v>
      </c>
      <c r="D645" s="2" t="s">
        <v>13</v>
      </c>
      <c r="E645">
        <v>44090</v>
      </c>
      <c r="F645">
        <v>1.4E-2</v>
      </c>
      <c r="G645">
        <v>1.4E-2</v>
      </c>
      <c r="H645">
        <v>1.2999999999999999E-2</v>
      </c>
      <c r="I645">
        <v>1.2999999999999999E-2</v>
      </c>
      <c r="J645">
        <v>603963</v>
      </c>
      <c r="K645">
        <v>573.16999999999996</v>
      </c>
      <c r="L645">
        <f t="shared" si="10"/>
        <v>0</v>
      </c>
      <c r="M645">
        <f>+IF(DailyData[[#This Row],[Column1]]&gt;0,DailyData[[#This Row],[Column1]]-L632,0)</f>
        <v>0</v>
      </c>
      <c r="N645" s="1">
        <f>+IF(DailyData[[#This Row],[Column2]]=0,0,DailyData[[#This Row],[Date]])</f>
        <v>0</v>
      </c>
    </row>
    <row r="646" spans="3:14" x14ac:dyDescent="0.25">
      <c r="C646" s="1">
        <v>45905</v>
      </c>
      <c r="D646" s="2" t="s">
        <v>14</v>
      </c>
      <c r="E646">
        <v>0</v>
      </c>
      <c r="F646">
        <v>169.27</v>
      </c>
      <c r="G646">
        <v>169.6</v>
      </c>
      <c r="H646">
        <v>167.25</v>
      </c>
      <c r="I646">
        <v>168.14</v>
      </c>
      <c r="J646">
        <v>1407522</v>
      </c>
      <c r="K646">
        <v>0</v>
      </c>
      <c r="L646">
        <f t="shared" si="10"/>
        <v>0</v>
      </c>
      <c r="M646">
        <f>+IF(DailyData[[#This Row],[Column1]]&gt;0,DailyData[[#This Row],[Column1]]-L633,0)</f>
        <v>0</v>
      </c>
      <c r="N646" s="1">
        <f>+IF(DailyData[[#This Row],[Column2]]=0,0,DailyData[[#This Row],[Date]])</f>
        <v>0</v>
      </c>
    </row>
    <row r="647" spans="3:14" x14ac:dyDescent="0.25">
      <c r="C647" s="1">
        <v>45905</v>
      </c>
      <c r="D647" s="2" t="s">
        <v>15</v>
      </c>
      <c r="E647">
        <v>10000</v>
      </c>
      <c r="F647">
        <v>0.29499999999999998</v>
      </c>
      <c r="G647">
        <v>0.3</v>
      </c>
      <c r="H647">
        <v>0.28499999999999998</v>
      </c>
      <c r="I647">
        <v>0.3</v>
      </c>
      <c r="J647">
        <v>159304</v>
      </c>
      <c r="K647">
        <v>3000</v>
      </c>
      <c r="L647">
        <f t="shared" si="10"/>
        <v>0</v>
      </c>
      <c r="M647">
        <f>+IF(DailyData[[#This Row],[Column1]]&gt;0,DailyData[[#This Row],[Column1]]-L634,0)</f>
        <v>0</v>
      </c>
      <c r="N647" s="1">
        <f>+IF(DailyData[[#This Row],[Column2]]=0,0,DailyData[[#This Row],[Date]])</f>
        <v>0</v>
      </c>
    </row>
    <row r="648" spans="3:14" x14ac:dyDescent="0.25">
      <c r="C648" s="1">
        <v>45905</v>
      </c>
      <c r="D648" s="2" t="s">
        <v>16</v>
      </c>
      <c r="E648">
        <v>20000</v>
      </c>
      <c r="F648">
        <v>0.34</v>
      </c>
      <c r="G648">
        <v>0.34</v>
      </c>
      <c r="H648">
        <v>0.30499999999999999</v>
      </c>
      <c r="I648">
        <v>0.34</v>
      </c>
      <c r="J648">
        <v>110422</v>
      </c>
      <c r="K648">
        <v>6800</v>
      </c>
      <c r="L648">
        <f t="shared" si="10"/>
        <v>0</v>
      </c>
      <c r="M648">
        <f>+IF(DailyData[[#This Row],[Column1]]&gt;0,DailyData[[#This Row],[Column1]]-L635,0)</f>
        <v>0</v>
      </c>
      <c r="N648" s="1">
        <f>+IF(DailyData[[#This Row],[Column2]]=0,0,DailyData[[#This Row],[Date]])</f>
        <v>0</v>
      </c>
    </row>
    <row r="649" spans="3:14" x14ac:dyDescent="0.25">
      <c r="C649" s="1">
        <v>45905</v>
      </c>
      <c r="D649" s="2" t="s">
        <v>17</v>
      </c>
      <c r="E649">
        <v>700000</v>
      </c>
      <c r="F649">
        <v>2E-3</v>
      </c>
      <c r="G649">
        <v>2E-3</v>
      </c>
      <c r="H649">
        <v>2E-3</v>
      </c>
      <c r="I649">
        <v>2E-3</v>
      </c>
      <c r="J649">
        <v>250</v>
      </c>
      <c r="K649">
        <v>1400</v>
      </c>
      <c r="L649">
        <f t="shared" si="10"/>
        <v>0</v>
      </c>
      <c r="M649">
        <f>+IF(DailyData[[#This Row],[Column1]]&gt;0,DailyData[[#This Row],[Column1]]-L636,0)</f>
        <v>0</v>
      </c>
      <c r="N649" s="1">
        <f>+IF(DailyData[[#This Row],[Column2]]=0,0,DailyData[[#This Row],[Date]])</f>
        <v>0</v>
      </c>
    </row>
    <row r="650" spans="3:14" x14ac:dyDescent="0.25">
      <c r="C650" s="1">
        <v>45905</v>
      </c>
      <c r="D650" s="2" t="s">
        <v>18</v>
      </c>
      <c r="E650">
        <v>9412</v>
      </c>
      <c r="F650">
        <v>0.315</v>
      </c>
      <c r="G650">
        <v>0.315</v>
      </c>
      <c r="H650">
        <v>0.31</v>
      </c>
      <c r="I650">
        <v>0.31</v>
      </c>
      <c r="J650">
        <v>243102</v>
      </c>
      <c r="K650">
        <v>2917.72</v>
      </c>
      <c r="L650">
        <f t="shared" si="10"/>
        <v>0</v>
      </c>
      <c r="M650">
        <f>+IF(DailyData[[#This Row],[Column1]]&gt;0,DailyData[[#This Row],[Column1]]-L637,0)</f>
        <v>0</v>
      </c>
      <c r="N650" s="1">
        <f>+IF(DailyData[[#This Row],[Column2]]=0,0,DailyData[[#This Row],[Date]])</f>
        <v>0</v>
      </c>
    </row>
    <row r="651" spans="3:14" x14ac:dyDescent="0.25">
      <c r="C651" s="1">
        <v>45905</v>
      </c>
      <c r="D651" s="2" t="s">
        <v>19</v>
      </c>
      <c r="E651">
        <v>6000</v>
      </c>
      <c r="F651">
        <v>0.19</v>
      </c>
      <c r="G651">
        <v>0.19500000000000001</v>
      </c>
      <c r="H651">
        <v>0.16500000000000001</v>
      </c>
      <c r="I651">
        <v>0.17499999999999999</v>
      </c>
      <c r="J651">
        <v>318680</v>
      </c>
      <c r="K651">
        <v>1050</v>
      </c>
      <c r="L651">
        <f t="shared" si="10"/>
        <v>0</v>
      </c>
      <c r="M651">
        <f>+IF(DailyData[[#This Row],[Column1]]&gt;0,DailyData[[#This Row],[Column1]]-L638,0)</f>
        <v>0</v>
      </c>
      <c r="N651" s="1">
        <f>+IF(DailyData[[#This Row],[Column2]]=0,0,DailyData[[#This Row],[Date]])</f>
        <v>0</v>
      </c>
    </row>
    <row r="652" spans="3:14" x14ac:dyDescent="0.25">
      <c r="C652" s="1">
        <v>45905</v>
      </c>
      <c r="D652" s="2" t="s">
        <v>20</v>
      </c>
      <c r="E652">
        <v>0</v>
      </c>
      <c r="F652">
        <v>38.14</v>
      </c>
      <c r="G652">
        <v>38.369999999999997</v>
      </c>
      <c r="H652">
        <v>38.049999999999997</v>
      </c>
      <c r="I652">
        <v>38.17</v>
      </c>
      <c r="J652">
        <v>3293617</v>
      </c>
      <c r="K652">
        <v>0</v>
      </c>
      <c r="L652">
        <f t="shared" si="10"/>
        <v>0</v>
      </c>
      <c r="M652">
        <f>+IF(DailyData[[#This Row],[Column1]]&gt;0,DailyData[[#This Row],[Column1]]-L639,0)</f>
        <v>0</v>
      </c>
      <c r="N652" s="1">
        <f>+IF(DailyData[[#This Row],[Column2]]=0,0,DailyData[[#This Row],[Date]])</f>
        <v>0</v>
      </c>
    </row>
    <row r="653" spans="3:14" x14ac:dyDescent="0.25">
      <c r="C653" s="1">
        <v>45905</v>
      </c>
      <c r="D653" s="2" t="s">
        <v>21</v>
      </c>
      <c r="E653">
        <v>1288</v>
      </c>
      <c r="F653">
        <v>25.68</v>
      </c>
      <c r="G653">
        <v>25.76</v>
      </c>
      <c r="H653">
        <v>25.51</v>
      </c>
      <c r="I653">
        <v>25.68</v>
      </c>
      <c r="J653">
        <v>3429559</v>
      </c>
      <c r="K653">
        <v>33075.839999999997</v>
      </c>
      <c r="L653">
        <f t="shared" si="10"/>
        <v>1050712.57</v>
      </c>
      <c r="M653">
        <f>+IF(DailyData[[#This Row],[Column1]]&gt;0,DailyData[[#This Row],[Column1]]-L640,0)</f>
        <v>-7445.6299999998882</v>
      </c>
      <c r="N653" s="1">
        <f>+IF(DailyData[[#This Row],[Column2]]=0,0,DailyData[[#This Row],[Date]])</f>
        <v>45905</v>
      </c>
    </row>
    <row r="654" spans="3:14" x14ac:dyDescent="0.25">
      <c r="C654" s="1">
        <v>45908</v>
      </c>
      <c r="D654" s="2" t="s">
        <v>9</v>
      </c>
      <c r="E654">
        <v>153181</v>
      </c>
      <c r="F654">
        <v>1.1499999999999999</v>
      </c>
      <c r="G654">
        <v>1.165</v>
      </c>
      <c r="H654">
        <v>1.1299999999999999</v>
      </c>
      <c r="I654">
        <v>1.145</v>
      </c>
      <c r="J654">
        <v>4649493</v>
      </c>
      <c r="K654">
        <v>175392.24</v>
      </c>
      <c r="L654">
        <f t="shared" si="10"/>
        <v>0</v>
      </c>
      <c r="M654">
        <f>+IF(DailyData[[#This Row],[Column1]]&gt;0,DailyData[[#This Row],[Column1]]-L641,0)</f>
        <v>0</v>
      </c>
      <c r="N654" s="1">
        <f>+IF(DailyData[[#This Row],[Column2]]=0,0,DailyData[[#This Row],[Date]])</f>
        <v>0</v>
      </c>
    </row>
    <row r="655" spans="3:14" x14ac:dyDescent="0.25">
      <c r="C655" s="1">
        <v>45908</v>
      </c>
      <c r="D655" s="2" t="s">
        <v>10</v>
      </c>
      <c r="E655">
        <v>70000</v>
      </c>
      <c r="F655">
        <v>1.655</v>
      </c>
      <c r="G655">
        <v>1.7150000000000001</v>
      </c>
      <c r="H655">
        <v>1.65</v>
      </c>
      <c r="I655">
        <v>1.6950000000000001</v>
      </c>
      <c r="J655">
        <v>6835752</v>
      </c>
      <c r="K655">
        <v>118650</v>
      </c>
      <c r="L655">
        <f t="shared" si="10"/>
        <v>0</v>
      </c>
      <c r="M655">
        <f>+IF(DailyData[[#This Row],[Column1]]&gt;0,DailyData[[#This Row],[Column1]]-L642,0)</f>
        <v>0</v>
      </c>
      <c r="N655" s="1">
        <f>+IF(DailyData[[#This Row],[Column2]]=0,0,DailyData[[#This Row],[Date]])</f>
        <v>0</v>
      </c>
    </row>
    <row r="656" spans="3:14" x14ac:dyDescent="0.25">
      <c r="C656" s="1">
        <v>45908</v>
      </c>
      <c r="D656" s="2" t="s">
        <v>11</v>
      </c>
      <c r="E656">
        <v>57458</v>
      </c>
      <c r="F656">
        <v>0.56000000000000005</v>
      </c>
      <c r="G656">
        <v>0.56499999999999995</v>
      </c>
      <c r="H656">
        <v>0.54</v>
      </c>
      <c r="I656">
        <v>0.54</v>
      </c>
      <c r="J656">
        <v>498912</v>
      </c>
      <c r="K656">
        <v>31027.32</v>
      </c>
      <c r="L656">
        <f t="shared" si="10"/>
        <v>0</v>
      </c>
      <c r="M656">
        <f>+IF(DailyData[[#This Row],[Column1]]&gt;0,DailyData[[#This Row],[Column1]]-L643,0)</f>
        <v>0</v>
      </c>
      <c r="N656" s="1">
        <f>+IF(DailyData[[#This Row],[Column2]]=0,0,DailyData[[#This Row],[Date]])</f>
        <v>0</v>
      </c>
    </row>
    <row r="657" spans="3:14" x14ac:dyDescent="0.25">
      <c r="C657" s="1">
        <v>45908</v>
      </c>
      <c r="D657" s="2" t="s">
        <v>12</v>
      </c>
      <c r="E657">
        <v>16361</v>
      </c>
      <c r="F657">
        <v>41.63</v>
      </c>
      <c r="G657">
        <v>41.79</v>
      </c>
      <c r="H657">
        <v>41.31</v>
      </c>
      <c r="I657">
        <v>41.37</v>
      </c>
      <c r="J657">
        <v>7131110</v>
      </c>
      <c r="K657">
        <v>676854.55</v>
      </c>
      <c r="L657">
        <f t="shared" ref="L657:L720" si="11">+IF(C658&lt;&gt;C657,SUM(K645:K657),0)</f>
        <v>0</v>
      </c>
      <c r="M657">
        <f>+IF(DailyData[[#This Row],[Column1]]&gt;0,DailyData[[#This Row],[Column1]]-L644,0)</f>
        <v>0</v>
      </c>
      <c r="N657" s="1">
        <f>+IF(DailyData[[#This Row],[Column2]]=0,0,DailyData[[#This Row],[Date]])</f>
        <v>0</v>
      </c>
    </row>
    <row r="658" spans="3:14" x14ac:dyDescent="0.25">
      <c r="C658" s="1">
        <v>45908</v>
      </c>
      <c r="D658" s="2" t="s">
        <v>13</v>
      </c>
      <c r="E658">
        <v>44090</v>
      </c>
      <c r="F658">
        <v>1.2999999999999999E-2</v>
      </c>
      <c r="G658">
        <v>1.4E-2</v>
      </c>
      <c r="H658">
        <v>1.2E-2</v>
      </c>
      <c r="I658">
        <v>1.2E-2</v>
      </c>
      <c r="J658">
        <v>6397545</v>
      </c>
      <c r="K658">
        <v>529.08000000000004</v>
      </c>
      <c r="L658">
        <f t="shared" si="11"/>
        <v>0</v>
      </c>
      <c r="M658">
        <f>+IF(DailyData[[#This Row],[Column1]]&gt;0,DailyData[[#This Row],[Column1]]-L645,0)</f>
        <v>0</v>
      </c>
      <c r="N658" s="1">
        <f>+IF(DailyData[[#This Row],[Column2]]=0,0,DailyData[[#This Row],[Date]])</f>
        <v>0</v>
      </c>
    </row>
    <row r="659" spans="3:14" x14ac:dyDescent="0.25">
      <c r="C659" s="1">
        <v>45908</v>
      </c>
      <c r="D659" s="2" t="s">
        <v>14</v>
      </c>
      <c r="E659">
        <v>0</v>
      </c>
      <c r="F659">
        <v>168</v>
      </c>
      <c r="G659">
        <v>168.24</v>
      </c>
      <c r="H659">
        <v>166.59</v>
      </c>
      <c r="I659">
        <v>168.24</v>
      </c>
      <c r="J659">
        <v>1221001</v>
      </c>
      <c r="K659">
        <v>0</v>
      </c>
      <c r="L659">
        <f t="shared" si="11"/>
        <v>0</v>
      </c>
      <c r="M659">
        <f>+IF(DailyData[[#This Row],[Column1]]&gt;0,DailyData[[#This Row],[Column1]]-L646,0)</f>
        <v>0</v>
      </c>
      <c r="N659" s="1">
        <f>+IF(DailyData[[#This Row],[Column2]]=0,0,DailyData[[#This Row],[Date]])</f>
        <v>0</v>
      </c>
    </row>
    <row r="660" spans="3:14" x14ac:dyDescent="0.25">
      <c r="C660" s="1">
        <v>45908</v>
      </c>
      <c r="D660" s="2" t="s">
        <v>15</v>
      </c>
      <c r="E660">
        <v>10000</v>
      </c>
      <c r="F660">
        <v>0.29499999999999998</v>
      </c>
      <c r="G660">
        <v>0.3</v>
      </c>
      <c r="H660">
        <v>0.29499999999999998</v>
      </c>
      <c r="I660">
        <v>0.3</v>
      </c>
      <c r="J660">
        <v>118530</v>
      </c>
      <c r="K660">
        <v>3000</v>
      </c>
      <c r="L660">
        <f t="shared" si="11"/>
        <v>0</v>
      </c>
      <c r="M660">
        <f>+IF(DailyData[[#This Row],[Column1]]&gt;0,DailyData[[#This Row],[Column1]]-L647,0)</f>
        <v>0</v>
      </c>
      <c r="N660" s="1">
        <f>+IF(DailyData[[#This Row],[Column2]]=0,0,DailyData[[#This Row],[Date]])</f>
        <v>0</v>
      </c>
    </row>
    <row r="661" spans="3:14" x14ac:dyDescent="0.25">
      <c r="C661" s="1">
        <v>45908</v>
      </c>
      <c r="D661" s="2" t="s">
        <v>16</v>
      </c>
      <c r="E661">
        <v>20000</v>
      </c>
      <c r="F661">
        <v>0.33</v>
      </c>
      <c r="G661">
        <v>0.33</v>
      </c>
      <c r="H661">
        <v>0.32500000000000001</v>
      </c>
      <c r="I661">
        <v>0.33</v>
      </c>
      <c r="J661">
        <v>97680</v>
      </c>
      <c r="K661">
        <v>6600</v>
      </c>
      <c r="L661">
        <f t="shared" si="11"/>
        <v>0</v>
      </c>
      <c r="M661">
        <f>+IF(DailyData[[#This Row],[Column1]]&gt;0,DailyData[[#This Row],[Column1]]-L648,0)</f>
        <v>0</v>
      </c>
      <c r="N661" s="1">
        <f>+IF(DailyData[[#This Row],[Column2]]=0,0,DailyData[[#This Row],[Date]])</f>
        <v>0</v>
      </c>
    </row>
    <row r="662" spans="3:14" x14ac:dyDescent="0.25">
      <c r="C662" s="1">
        <v>45908</v>
      </c>
      <c r="D662" s="2" t="s">
        <v>17</v>
      </c>
      <c r="E662">
        <v>700000</v>
      </c>
      <c r="F662">
        <v>2E-3</v>
      </c>
      <c r="G662">
        <v>2E-3</v>
      </c>
      <c r="H662">
        <v>2E-3</v>
      </c>
      <c r="I662">
        <v>2E-3</v>
      </c>
      <c r="J662">
        <v>119367</v>
      </c>
      <c r="K662">
        <v>1750</v>
      </c>
      <c r="L662">
        <f t="shared" si="11"/>
        <v>0</v>
      </c>
      <c r="M662">
        <f>+IF(DailyData[[#This Row],[Column1]]&gt;0,DailyData[[#This Row],[Column1]]-L649,0)</f>
        <v>0</v>
      </c>
      <c r="N662" s="1">
        <f>+IF(DailyData[[#This Row],[Column2]]=0,0,DailyData[[#This Row],[Date]])</f>
        <v>0</v>
      </c>
    </row>
    <row r="663" spans="3:14" x14ac:dyDescent="0.25">
      <c r="C663" s="1">
        <v>45908</v>
      </c>
      <c r="D663" s="2" t="s">
        <v>18</v>
      </c>
      <c r="E663">
        <v>9412</v>
      </c>
      <c r="F663">
        <v>0.315</v>
      </c>
      <c r="G663">
        <v>0.32500000000000001</v>
      </c>
      <c r="H663">
        <v>0.315</v>
      </c>
      <c r="I663">
        <v>0.32</v>
      </c>
      <c r="J663">
        <v>42659</v>
      </c>
      <c r="K663">
        <v>3011.84</v>
      </c>
      <c r="L663">
        <f t="shared" si="11"/>
        <v>0</v>
      </c>
      <c r="M663">
        <f>+IF(DailyData[[#This Row],[Column1]]&gt;0,DailyData[[#This Row],[Column1]]-L650,0)</f>
        <v>0</v>
      </c>
      <c r="N663" s="1">
        <f>+IF(DailyData[[#This Row],[Column2]]=0,0,DailyData[[#This Row],[Date]])</f>
        <v>0</v>
      </c>
    </row>
    <row r="664" spans="3:14" x14ac:dyDescent="0.25">
      <c r="C664" s="1">
        <v>45908</v>
      </c>
      <c r="D664" s="2" t="s">
        <v>19</v>
      </c>
      <c r="E664">
        <v>6000</v>
      </c>
      <c r="F664">
        <v>0.17499999999999999</v>
      </c>
      <c r="G664">
        <v>0.19</v>
      </c>
      <c r="H664">
        <v>0.17</v>
      </c>
      <c r="I664">
        <v>0.185</v>
      </c>
      <c r="J664">
        <v>287941</v>
      </c>
      <c r="K664">
        <v>1110</v>
      </c>
      <c r="L664">
        <f t="shared" si="11"/>
        <v>0</v>
      </c>
      <c r="M664">
        <f>+IF(DailyData[[#This Row],[Column1]]&gt;0,DailyData[[#This Row],[Column1]]-L651,0)</f>
        <v>0</v>
      </c>
      <c r="N664" s="1">
        <f>+IF(DailyData[[#This Row],[Column2]]=0,0,DailyData[[#This Row],[Date]])</f>
        <v>0</v>
      </c>
    </row>
    <row r="665" spans="3:14" x14ac:dyDescent="0.25">
      <c r="C665" s="1">
        <v>45908</v>
      </c>
      <c r="D665" s="2" t="s">
        <v>20</v>
      </c>
      <c r="E665">
        <v>0</v>
      </c>
      <c r="F665">
        <v>37.82</v>
      </c>
      <c r="G665">
        <v>38.049999999999997</v>
      </c>
      <c r="H665">
        <v>37.69</v>
      </c>
      <c r="I665">
        <v>37.96</v>
      </c>
      <c r="J665">
        <v>2605060</v>
      </c>
      <c r="K665">
        <v>0</v>
      </c>
      <c r="L665">
        <f t="shared" si="11"/>
        <v>0</v>
      </c>
      <c r="M665">
        <f>+IF(DailyData[[#This Row],[Column1]]&gt;0,DailyData[[#This Row],[Column1]]-L652,0)</f>
        <v>0</v>
      </c>
      <c r="N665" s="1">
        <f>+IF(DailyData[[#This Row],[Column2]]=0,0,DailyData[[#This Row],[Date]])</f>
        <v>0</v>
      </c>
    </row>
    <row r="666" spans="3:14" x14ac:dyDescent="0.25">
      <c r="C666" s="1">
        <v>45908</v>
      </c>
      <c r="D666" s="2" t="s">
        <v>21</v>
      </c>
      <c r="E666">
        <v>1288</v>
      </c>
      <c r="F666">
        <v>25.15</v>
      </c>
      <c r="G666">
        <v>25.16</v>
      </c>
      <c r="H666">
        <v>24.67</v>
      </c>
      <c r="I666">
        <v>24.98</v>
      </c>
      <c r="J666">
        <v>4983285</v>
      </c>
      <c r="K666">
        <v>32174.240000000002</v>
      </c>
      <c r="L666">
        <f t="shared" si="11"/>
        <v>1050099.27</v>
      </c>
      <c r="M666">
        <f>+IF(DailyData[[#This Row],[Column1]]&gt;0,DailyData[[#This Row],[Column1]]-L653,0)</f>
        <v>-613.30000000004657</v>
      </c>
      <c r="N666" s="1">
        <f>+IF(DailyData[[#This Row],[Column2]]=0,0,DailyData[[#This Row],[Date]])</f>
        <v>45908</v>
      </c>
    </row>
    <row r="667" spans="3:14" x14ac:dyDescent="0.25">
      <c r="C667" s="1">
        <v>45909</v>
      </c>
      <c r="D667" s="2" t="s">
        <v>9</v>
      </c>
      <c r="E667">
        <v>153181</v>
      </c>
      <c r="F667">
        <v>1.165</v>
      </c>
      <c r="G667">
        <v>1.17</v>
      </c>
      <c r="H667">
        <v>1.1200000000000001</v>
      </c>
      <c r="I667">
        <v>1.1499999999999999</v>
      </c>
      <c r="J667">
        <v>6713762</v>
      </c>
      <c r="K667">
        <v>176158.15</v>
      </c>
      <c r="L667">
        <f t="shared" si="11"/>
        <v>0</v>
      </c>
      <c r="M667">
        <f>+IF(DailyData[[#This Row],[Column1]]&gt;0,DailyData[[#This Row],[Column1]]-L654,0)</f>
        <v>0</v>
      </c>
      <c r="N667" s="1">
        <f>+IF(DailyData[[#This Row],[Column2]]=0,0,DailyData[[#This Row],[Date]])</f>
        <v>0</v>
      </c>
    </row>
    <row r="668" spans="3:14" x14ac:dyDescent="0.25">
      <c r="C668" s="1">
        <v>45909</v>
      </c>
      <c r="D668" s="2" t="s">
        <v>10</v>
      </c>
      <c r="E668">
        <v>70000</v>
      </c>
      <c r="F668">
        <v>1.6950000000000001</v>
      </c>
      <c r="G668">
        <v>1.7050000000000001</v>
      </c>
      <c r="H668">
        <v>1.6679999999999999</v>
      </c>
      <c r="I668">
        <v>1.675</v>
      </c>
      <c r="J668">
        <v>5296090</v>
      </c>
      <c r="K668">
        <v>117250</v>
      </c>
      <c r="L668">
        <f t="shared" si="11"/>
        <v>0</v>
      </c>
      <c r="M668">
        <f>+IF(DailyData[[#This Row],[Column1]]&gt;0,DailyData[[#This Row],[Column1]]-L655,0)</f>
        <v>0</v>
      </c>
      <c r="N668" s="1">
        <f>+IF(DailyData[[#This Row],[Column2]]=0,0,DailyData[[#This Row],[Date]])</f>
        <v>0</v>
      </c>
    </row>
    <row r="669" spans="3:14" x14ac:dyDescent="0.25">
      <c r="C669" s="1">
        <v>45909</v>
      </c>
      <c r="D669" s="2" t="s">
        <v>11</v>
      </c>
      <c r="E669">
        <v>57458</v>
      </c>
      <c r="F669">
        <v>0.54500000000000004</v>
      </c>
      <c r="G669">
        <v>0.55000000000000004</v>
      </c>
      <c r="H669">
        <v>0.53500000000000003</v>
      </c>
      <c r="I669">
        <v>0.54</v>
      </c>
      <c r="J669">
        <v>174512</v>
      </c>
      <c r="K669">
        <v>31027.32</v>
      </c>
      <c r="L669">
        <f t="shared" si="11"/>
        <v>0</v>
      </c>
      <c r="M669">
        <f>+IF(DailyData[[#This Row],[Column1]]&gt;0,DailyData[[#This Row],[Column1]]-L656,0)</f>
        <v>0</v>
      </c>
      <c r="N669" s="1">
        <f>+IF(DailyData[[#This Row],[Column2]]=0,0,DailyData[[#This Row],[Date]])</f>
        <v>0</v>
      </c>
    </row>
    <row r="670" spans="3:14" x14ac:dyDescent="0.25">
      <c r="C670" s="1">
        <v>45909</v>
      </c>
      <c r="D670" s="2" t="s">
        <v>12</v>
      </c>
      <c r="E670">
        <v>16361</v>
      </c>
      <c r="F670">
        <v>41.13</v>
      </c>
      <c r="G670">
        <v>41.18</v>
      </c>
      <c r="H670">
        <v>40.700000000000003</v>
      </c>
      <c r="I670">
        <v>40.97</v>
      </c>
      <c r="J670">
        <v>11339058</v>
      </c>
      <c r="K670">
        <v>670310.18999999994</v>
      </c>
      <c r="L670">
        <f t="shared" si="11"/>
        <v>0</v>
      </c>
      <c r="M670">
        <f>+IF(DailyData[[#This Row],[Column1]]&gt;0,DailyData[[#This Row],[Column1]]-L657,0)</f>
        <v>0</v>
      </c>
      <c r="N670" s="1">
        <f>+IF(DailyData[[#This Row],[Column2]]=0,0,DailyData[[#This Row],[Date]])</f>
        <v>0</v>
      </c>
    </row>
    <row r="671" spans="3:14" x14ac:dyDescent="0.25">
      <c r="C671" s="1">
        <v>45909</v>
      </c>
      <c r="D671" s="2" t="s">
        <v>13</v>
      </c>
      <c r="E671">
        <v>44090</v>
      </c>
      <c r="F671">
        <v>1.2E-2</v>
      </c>
      <c r="G671">
        <v>1.2E-2</v>
      </c>
      <c r="H671">
        <v>1.0999999999999999E-2</v>
      </c>
      <c r="I671">
        <v>1.0999999999999999E-2</v>
      </c>
      <c r="J671">
        <v>2885638</v>
      </c>
      <c r="K671">
        <v>484.99</v>
      </c>
      <c r="L671">
        <f t="shared" si="11"/>
        <v>0</v>
      </c>
      <c r="M671">
        <f>+IF(DailyData[[#This Row],[Column1]]&gt;0,DailyData[[#This Row],[Column1]]-L658,0)</f>
        <v>0</v>
      </c>
      <c r="N671" s="1">
        <f>+IF(DailyData[[#This Row],[Column2]]=0,0,DailyData[[#This Row],[Date]])</f>
        <v>0</v>
      </c>
    </row>
    <row r="672" spans="3:14" x14ac:dyDescent="0.25">
      <c r="C672" s="1">
        <v>45909</v>
      </c>
      <c r="D672" s="2" t="s">
        <v>14</v>
      </c>
      <c r="E672">
        <v>0</v>
      </c>
      <c r="F672">
        <v>168.24</v>
      </c>
      <c r="G672">
        <v>168.24</v>
      </c>
      <c r="H672">
        <v>165.38</v>
      </c>
      <c r="I672">
        <v>166.08</v>
      </c>
      <c r="J672">
        <v>1967975</v>
      </c>
      <c r="K672">
        <v>0</v>
      </c>
      <c r="L672">
        <f t="shared" si="11"/>
        <v>0</v>
      </c>
      <c r="M672">
        <f>+IF(DailyData[[#This Row],[Column1]]&gt;0,DailyData[[#This Row],[Column1]]-L659,0)</f>
        <v>0</v>
      </c>
      <c r="N672" s="1">
        <f>+IF(DailyData[[#This Row],[Column2]]=0,0,DailyData[[#This Row],[Date]])</f>
        <v>0</v>
      </c>
    </row>
    <row r="673" spans="3:14" x14ac:dyDescent="0.25">
      <c r="C673" s="1">
        <v>45909</v>
      </c>
      <c r="D673" s="2" t="s">
        <v>15</v>
      </c>
      <c r="E673">
        <v>10000</v>
      </c>
      <c r="F673">
        <v>0.3</v>
      </c>
      <c r="G673">
        <v>0.31</v>
      </c>
      <c r="H673">
        <v>0.29499999999999998</v>
      </c>
      <c r="I673">
        <v>0.31</v>
      </c>
      <c r="J673">
        <v>6033647</v>
      </c>
      <c r="K673">
        <v>3100</v>
      </c>
      <c r="L673">
        <f t="shared" si="11"/>
        <v>0</v>
      </c>
      <c r="M673">
        <f>+IF(DailyData[[#This Row],[Column1]]&gt;0,DailyData[[#This Row],[Column1]]-L660,0)</f>
        <v>0</v>
      </c>
      <c r="N673" s="1">
        <f>+IF(DailyData[[#This Row],[Column2]]=0,0,DailyData[[#This Row],[Date]])</f>
        <v>0</v>
      </c>
    </row>
    <row r="674" spans="3:14" x14ac:dyDescent="0.25">
      <c r="C674" s="1">
        <v>45909</v>
      </c>
      <c r="D674" s="2" t="s">
        <v>16</v>
      </c>
      <c r="E674">
        <v>20000</v>
      </c>
      <c r="F674">
        <v>0.33</v>
      </c>
      <c r="G674">
        <v>0.34499999999999997</v>
      </c>
      <c r="H674">
        <v>0.33</v>
      </c>
      <c r="I674">
        <v>0.33500000000000002</v>
      </c>
      <c r="J674">
        <v>443018</v>
      </c>
      <c r="K674">
        <v>6700</v>
      </c>
      <c r="L674">
        <f t="shared" si="11"/>
        <v>0</v>
      </c>
      <c r="M674">
        <f>+IF(DailyData[[#This Row],[Column1]]&gt;0,DailyData[[#This Row],[Column1]]-L661,0)</f>
        <v>0</v>
      </c>
      <c r="N674" s="1">
        <f>+IF(DailyData[[#This Row],[Column2]]=0,0,DailyData[[#This Row],[Date]])</f>
        <v>0</v>
      </c>
    </row>
    <row r="675" spans="3:14" x14ac:dyDescent="0.25">
      <c r="C675" s="1">
        <v>45909</v>
      </c>
      <c r="D675" s="2" t="s">
        <v>17</v>
      </c>
      <c r="E675">
        <v>700000</v>
      </c>
      <c r="F675">
        <v>2E-3</v>
      </c>
      <c r="G675">
        <v>2E-3</v>
      </c>
      <c r="H675">
        <v>2E-3</v>
      </c>
      <c r="I675">
        <v>2E-3</v>
      </c>
      <c r="J675">
        <v>13333</v>
      </c>
      <c r="K675">
        <v>1750</v>
      </c>
      <c r="L675">
        <f t="shared" si="11"/>
        <v>0</v>
      </c>
      <c r="M675">
        <f>+IF(DailyData[[#This Row],[Column1]]&gt;0,DailyData[[#This Row],[Column1]]-L662,0)</f>
        <v>0</v>
      </c>
      <c r="N675" s="1">
        <f>+IF(DailyData[[#This Row],[Column2]]=0,0,DailyData[[#This Row],[Date]])</f>
        <v>0</v>
      </c>
    </row>
    <row r="676" spans="3:14" x14ac:dyDescent="0.25">
      <c r="C676" s="1">
        <v>45909</v>
      </c>
      <c r="D676" s="2" t="s">
        <v>18</v>
      </c>
      <c r="E676">
        <v>9412</v>
      </c>
      <c r="F676">
        <v>0.32</v>
      </c>
      <c r="G676">
        <v>0.32</v>
      </c>
      <c r="H676">
        <v>0.30499999999999999</v>
      </c>
      <c r="I676">
        <v>0.315</v>
      </c>
      <c r="J676">
        <v>175388</v>
      </c>
      <c r="K676">
        <v>2964.78</v>
      </c>
      <c r="L676">
        <f t="shared" si="11"/>
        <v>0</v>
      </c>
      <c r="M676">
        <f>+IF(DailyData[[#This Row],[Column1]]&gt;0,DailyData[[#This Row],[Column1]]-L663,0)</f>
        <v>0</v>
      </c>
      <c r="N676" s="1">
        <f>+IF(DailyData[[#This Row],[Column2]]=0,0,DailyData[[#This Row],[Date]])</f>
        <v>0</v>
      </c>
    </row>
    <row r="677" spans="3:14" x14ac:dyDescent="0.25">
      <c r="C677" s="1">
        <v>45909</v>
      </c>
      <c r="D677" s="2" t="s">
        <v>19</v>
      </c>
      <c r="E677">
        <v>6000</v>
      </c>
      <c r="F677">
        <v>0.18</v>
      </c>
      <c r="G677">
        <v>0.2</v>
      </c>
      <c r="H677">
        <v>0.18</v>
      </c>
      <c r="I677">
        <v>0.2</v>
      </c>
      <c r="J677">
        <v>139105</v>
      </c>
      <c r="K677">
        <v>1200</v>
      </c>
      <c r="L677">
        <f t="shared" si="11"/>
        <v>0</v>
      </c>
      <c r="M677">
        <f>+IF(DailyData[[#This Row],[Column1]]&gt;0,DailyData[[#This Row],[Column1]]-L664,0)</f>
        <v>0</v>
      </c>
      <c r="N677" s="1">
        <f>+IF(DailyData[[#This Row],[Column2]]=0,0,DailyData[[#This Row],[Date]])</f>
        <v>0</v>
      </c>
    </row>
    <row r="678" spans="3:14" x14ac:dyDescent="0.25">
      <c r="C678" s="1">
        <v>45909</v>
      </c>
      <c r="D678" s="2" t="s">
        <v>20</v>
      </c>
      <c r="E678">
        <v>0</v>
      </c>
      <c r="F678">
        <v>37.74</v>
      </c>
      <c r="G678">
        <v>37.76</v>
      </c>
      <c r="H678">
        <v>37.409999999999997</v>
      </c>
      <c r="I678">
        <v>37.65</v>
      </c>
      <c r="J678">
        <v>4306570</v>
      </c>
      <c r="K678">
        <v>0</v>
      </c>
      <c r="L678">
        <f t="shared" si="11"/>
        <v>0</v>
      </c>
      <c r="M678">
        <f>+IF(DailyData[[#This Row],[Column1]]&gt;0,DailyData[[#This Row],[Column1]]-L665,0)</f>
        <v>0</v>
      </c>
      <c r="N678" s="1">
        <f>+IF(DailyData[[#This Row],[Column2]]=0,0,DailyData[[#This Row],[Date]])</f>
        <v>0</v>
      </c>
    </row>
    <row r="679" spans="3:14" x14ac:dyDescent="0.25">
      <c r="C679" s="1">
        <v>45909</v>
      </c>
      <c r="D679" s="2" t="s">
        <v>21</v>
      </c>
      <c r="E679">
        <v>1288</v>
      </c>
      <c r="F679">
        <v>25</v>
      </c>
      <c r="G679">
        <v>25</v>
      </c>
      <c r="H679">
        <v>24.61</v>
      </c>
      <c r="I679">
        <v>24.68</v>
      </c>
      <c r="J679">
        <v>3092567</v>
      </c>
      <c r="K679">
        <v>31787.84</v>
      </c>
      <c r="L679">
        <f t="shared" si="11"/>
        <v>1042733.2699999999</v>
      </c>
      <c r="M679">
        <f>+IF(DailyData[[#This Row],[Column1]]&gt;0,DailyData[[#This Row],[Column1]]-L666,0)</f>
        <v>-7366.0000000001164</v>
      </c>
      <c r="N679" s="1">
        <f>+IF(DailyData[[#This Row],[Column2]]=0,0,DailyData[[#This Row],[Date]])</f>
        <v>45909</v>
      </c>
    </row>
    <row r="680" spans="3:14" x14ac:dyDescent="0.25">
      <c r="C680" s="1">
        <v>45910</v>
      </c>
      <c r="D680" s="2" t="s">
        <v>9</v>
      </c>
      <c r="E680">
        <v>153181</v>
      </c>
      <c r="F680">
        <v>1.115</v>
      </c>
      <c r="G680">
        <v>1.1399999999999999</v>
      </c>
      <c r="H680">
        <v>1.0229999999999999</v>
      </c>
      <c r="I680">
        <v>1.075</v>
      </c>
      <c r="J680">
        <v>9512709</v>
      </c>
      <c r="K680">
        <v>164669.57999999999</v>
      </c>
      <c r="L680">
        <f t="shared" si="11"/>
        <v>0</v>
      </c>
      <c r="M680">
        <f>+IF(DailyData[[#This Row],[Column1]]&gt;0,DailyData[[#This Row],[Column1]]-L667,0)</f>
        <v>0</v>
      </c>
      <c r="N680" s="1">
        <f>+IF(DailyData[[#This Row],[Column2]]=0,0,DailyData[[#This Row],[Date]])</f>
        <v>0</v>
      </c>
    </row>
    <row r="681" spans="3:14" x14ac:dyDescent="0.25">
      <c r="C681" s="1">
        <v>45910</v>
      </c>
      <c r="D681" s="2" t="s">
        <v>10</v>
      </c>
      <c r="E681">
        <v>70000</v>
      </c>
      <c r="F681">
        <v>1.67</v>
      </c>
      <c r="G681">
        <v>1.71</v>
      </c>
      <c r="H681">
        <v>1.67</v>
      </c>
      <c r="I681">
        <v>1.69</v>
      </c>
      <c r="J681">
        <v>5693776</v>
      </c>
      <c r="K681">
        <v>118300</v>
      </c>
      <c r="L681">
        <f t="shared" si="11"/>
        <v>0</v>
      </c>
      <c r="M681">
        <f>+IF(DailyData[[#This Row],[Column1]]&gt;0,DailyData[[#This Row],[Column1]]-L668,0)</f>
        <v>0</v>
      </c>
      <c r="N681" s="1">
        <f>+IF(DailyData[[#This Row],[Column2]]=0,0,DailyData[[#This Row],[Date]])</f>
        <v>0</v>
      </c>
    </row>
    <row r="682" spans="3:14" x14ac:dyDescent="0.25">
      <c r="C682" s="1">
        <v>45910</v>
      </c>
      <c r="D682" s="2" t="s">
        <v>11</v>
      </c>
      <c r="E682">
        <v>57458</v>
      </c>
      <c r="F682">
        <v>0.54</v>
      </c>
      <c r="G682">
        <v>0.55000000000000004</v>
      </c>
      <c r="H682">
        <v>0.52500000000000002</v>
      </c>
      <c r="I682">
        <v>0.52500000000000002</v>
      </c>
      <c r="J682">
        <v>452302</v>
      </c>
      <c r="K682">
        <v>30165.45</v>
      </c>
      <c r="L682">
        <f t="shared" si="11"/>
        <v>0</v>
      </c>
      <c r="M682">
        <f>+IF(DailyData[[#This Row],[Column1]]&gt;0,DailyData[[#This Row],[Column1]]-L669,0)</f>
        <v>0</v>
      </c>
      <c r="N682" s="1">
        <f>+IF(DailyData[[#This Row],[Column2]]=0,0,DailyData[[#This Row],[Date]])</f>
        <v>0</v>
      </c>
    </row>
    <row r="683" spans="3:14" x14ac:dyDescent="0.25">
      <c r="C683" s="1">
        <v>45910</v>
      </c>
      <c r="D683" s="2" t="s">
        <v>12</v>
      </c>
      <c r="E683">
        <v>16361</v>
      </c>
      <c r="F683">
        <v>40.32</v>
      </c>
      <c r="G683">
        <v>40.56</v>
      </c>
      <c r="H683">
        <v>40.18</v>
      </c>
      <c r="I683">
        <v>40.46</v>
      </c>
      <c r="J683">
        <v>7263768</v>
      </c>
      <c r="K683">
        <v>661966.05000000005</v>
      </c>
      <c r="L683">
        <f t="shared" si="11"/>
        <v>0</v>
      </c>
      <c r="M683">
        <f>+IF(DailyData[[#This Row],[Column1]]&gt;0,DailyData[[#This Row],[Column1]]-L670,0)</f>
        <v>0</v>
      </c>
      <c r="N683" s="1">
        <f>+IF(DailyData[[#This Row],[Column2]]=0,0,DailyData[[#This Row],[Date]])</f>
        <v>0</v>
      </c>
    </row>
    <row r="684" spans="3:14" x14ac:dyDescent="0.25">
      <c r="C684" s="1">
        <v>45910</v>
      </c>
      <c r="D684" s="2" t="s">
        <v>13</v>
      </c>
      <c r="E684">
        <v>44090</v>
      </c>
      <c r="F684">
        <v>1.0999999999999999E-2</v>
      </c>
      <c r="G684">
        <v>1.0999999999999999E-2</v>
      </c>
      <c r="H684">
        <v>0.01</v>
      </c>
      <c r="I684">
        <v>0.01</v>
      </c>
      <c r="J684">
        <v>3218592</v>
      </c>
      <c r="K684">
        <v>440.9</v>
      </c>
      <c r="L684">
        <f t="shared" si="11"/>
        <v>0</v>
      </c>
      <c r="M684">
        <f>+IF(DailyData[[#This Row],[Column1]]&gt;0,DailyData[[#This Row],[Column1]]-L671,0)</f>
        <v>0</v>
      </c>
      <c r="N684" s="1">
        <f>+IF(DailyData[[#This Row],[Column2]]=0,0,DailyData[[#This Row],[Date]])</f>
        <v>0</v>
      </c>
    </row>
    <row r="685" spans="3:14" x14ac:dyDescent="0.25">
      <c r="C685" s="1">
        <v>45910</v>
      </c>
      <c r="D685" s="2" t="s">
        <v>14</v>
      </c>
      <c r="E685">
        <v>0</v>
      </c>
      <c r="F685">
        <v>167</v>
      </c>
      <c r="G685">
        <v>169.17</v>
      </c>
      <c r="H685">
        <v>166.91</v>
      </c>
      <c r="I685">
        <v>168.54</v>
      </c>
      <c r="J685">
        <v>1448532</v>
      </c>
      <c r="K685">
        <v>0</v>
      </c>
      <c r="L685">
        <f t="shared" si="11"/>
        <v>0</v>
      </c>
      <c r="M685">
        <f>+IF(DailyData[[#This Row],[Column1]]&gt;0,DailyData[[#This Row],[Column1]]-L672,0)</f>
        <v>0</v>
      </c>
      <c r="N685" s="1">
        <f>+IF(DailyData[[#This Row],[Column2]]=0,0,DailyData[[#This Row],[Date]])</f>
        <v>0</v>
      </c>
    </row>
    <row r="686" spans="3:14" x14ac:dyDescent="0.25">
      <c r="C686" s="1">
        <v>45910</v>
      </c>
      <c r="D686" s="2" t="s">
        <v>15</v>
      </c>
      <c r="E686">
        <v>10000</v>
      </c>
      <c r="F686">
        <v>0.30499999999999999</v>
      </c>
      <c r="G686">
        <v>0.30499999999999999</v>
      </c>
      <c r="H686">
        <v>0.28999999999999998</v>
      </c>
      <c r="I686">
        <v>0.28999999999999998</v>
      </c>
      <c r="J686">
        <v>424040</v>
      </c>
      <c r="K686">
        <v>2900</v>
      </c>
      <c r="L686">
        <f t="shared" si="11"/>
        <v>0</v>
      </c>
      <c r="M686">
        <f>+IF(DailyData[[#This Row],[Column1]]&gt;0,DailyData[[#This Row],[Column1]]-L673,0)</f>
        <v>0</v>
      </c>
      <c r="N686" s="1">
        <f>+IF(DailyData[[#This Row],[Column2]]=0,0,DailyData[[#This Row],[Date]])</f>
        <v>0</v>
      </c>
    </row>
    <row r="687" spans="3:14" x14ac:dyDescent="0.25">
      <c r="C687" s="1">
        <v>45910</v>
      </c>
      <c r="D687" s="2" t="s">
        <v>16</v>
      </c>
      <c r="E687">
        <v>20000</v>
      </c>
      <c r="F687">
        <v>0.33500000000000002</v>
      </c>
      <c r="G687">
        <v>0.33500000000000002</v>
      </c>
      <c r="H687">
        <v>0.33500000000000002</v>
      </c>
      <c r="I687">
        <v>0.33500000000000002</v>
      </c>
      <c r="J687">
        <v>0</v>
      </c>
      <c r="K687">
        <v>6700</v>
      </c>
      <c r="L687">
        <f t="shared" si="11"/>
        <v>0</v>
      </c>
      <c r="M687">
        <f>+IF(DailyData[[#This Row],[Column1]]&gt;0,DailyData[[#This Row],[Column1]]-L674,0)</f>
        <v>0</v>
      </c>
      <c r="N687" s="1">
        <f>+IF(DailyData[[#This Row],[Column2]]=0,0,DailyData[[#This Row],[Date]])</f>
        <v>0</v>
      </c>
    </row>
    <row r="688" spans="3:14" x14ac:dyDescent="0.25">
      <c r="C688" s="1">
        <v>45910</v>
      </c>
      <c r="D688" s="2" t="s">
        <v>17</v>
      </c>
      <c r="E688">
        <v>700000</v>
      </c>
      <c r="F688">
        <v>2E-3</v>
      </c>
      <c r="G688">
        <v>2E-3</v>
      </c>
      <c r="H688">
        <v>2E-3</v>
      </c>
      <c r="I688">
        <v>2E-3</v>
      </c>
      <c r="J688">
        <v>66500</v>
      </c>
      <c r="K688">
        <v>1750</v>
      </c>
      <c r="L688">
        <f t="shared" si="11"/>
        <v>0</v>
      </c>
      <c r="M688">
        <f>+IF(DailyData[[#This Row],[Column1]]&gt;0,DailyData[[#This Row],[Column1]]-L675,0)</f>
        <v>0</v>
      </c>
      <c r="N688" s="1">
        <f>+IF(DailyData[[#This Row],[Column2]]=0,0,DailyData[[#This Row],[Date]])</f>
        <v>0</v>
      </c>
    </row>
    <row r="689" spans="3:14" x14ac:dyDescent="0.25">
      <c r="C689" s="1">
        <v>45910</v>
      </c>
      <c r="D689" s="2" t="s">
        <v>18</v>
      </c>
      <c r="E689">
        <v>9412</v>
      </c>
      <c r="F689">
        <v>0.32200000000000001</v>
      </c>
      <c r="G689">
        <v>0.32200000000000001</v>
      </c>
      <c r="H689">
        <v>0.30499999999999999</v>
      </c>
      <c r="I689">
        <v>0.31</v>
      </c>
      <c r="J689">
        <v>82932</v>
      </c>
      <c r="K689">
        <v>2917.72</v>
      </c>
      <c r="L689">
        <f t="shared" si="11"/>
        <v>0</v>
      </c>
      <c r="M689">
        <f>+IF(DailyData[[#This Row],[Column1]]&gt;0,DailyData[[#This Row],[Column1]]-L676,0)</f>
        <v>0</v>
      </c>
      <c r="N689" s="1">
        <f>+IF(DailyData[[#This Row],[Column2]]=0,0,DailyData[[#This Row],[Date]])</f>
        <v>0</v>
      </c>
    </row>
    <row r="690" spans="3:14" x14ac:dyDescent="0.25">
      <c r="C690" s="1">
        <v>45910</v>
      </c>
      <c r="D690" s="2" t="s">
        <v>19</v>
      </c>
      <c r="E690">
        <v>6000</v>
      </c>
      <c r="F690">
        <v>0.19500000000000001</v>
      </c>
      <c r="G690">
        <v>0.19500000000000001</v>
      </c>
      <c r="H690">
        <v>0.18</v>
      </c>
      <c r="I690">
        <v>0.185</v>
      </c>
      <c r="J690">
        <v>72776</v>
      </c>
      <c r="K690">
        <v>1110</v>
      </c>
      <c r="L690">
        <f t="shared" si="11"/>
        <v>0</v>
      </c>
      <c r="M690">
        <f>+IF(DailyData[[#This Row],[Column1]]&gt;0,DailyData[[#This Row],[Column1]]-L677,0)</f>
        <v>0</v>
      </c>
      <c r="N690" s="1">
        <f>+IF(DailyData[[#This Row],[Column2]]=0,0,DailyData[[#This Row],[Date]])</f>
        <v>0</v>
      </c>
    </row>
    <row r="691" spans="3:14" x14ac:dyDescent="0.25">
      <c r="C691" s="1">
        <v>45910</v>
      </c>
      <c r="D691" s="2" t="s">
        <v>20</v>
      </c>
      <c r="E691">
        <v>0</v>
      </c>
      <c r="F691">
        <v>38</v>
      </c>
      <c r="G691">
        <v>38.340000000000003</v>
      </c>
      <c r="H691">
        <v>37.85</v>
      </c>
      <c r="I691">
        <v>38.29</v>
      </c>
      <c r="J691">
        <v>3907536</v>
      </c>
      <c r="K691">
        <v>0</v>
      </c>
      <c r="L691">
        <f t="shared" si="11"/>
        <v>0</v>
      </c>
      <c r="M691">
        <f>+IF(DailyData[[#This Row],[Column1]]&gt;0,DailyData[[#This Row],[Column1]]-L678,0)</f>
        <v>0</v>
      </c>
      <c r="N691" s="1">
        <f>+IF(DailyData[[#This Row],[Column2]]=0,0,DailyData[[#This Row],[Date]])</f>
        <v>0</v>
      </c>
    </row>
    <row r="692" spans="3:14" x14ac:dyDescent="0.25">
      <c r="C692" s="1">
        <v>45910</v>
      </c>
      <c r="D692" s="2" t="s">
        <v>21</v>
      </c>
      <c r="E692">
        <v>1288</v>
      </c>
      <c r="F692">
        <v>24.61</v>
      </c>
      <c r="G692">
        <v>24.844999999999999</v>
      </c>
      <c r="H692">
        <v>24.57</v>
      </c>
      <c r="I692">
        <v>24.77</v>
      </c>
      <c r="J692">
        <v>2649646</v>
      </c>
      <c r="K692">
        <v>31903.759999999998</v>
      </c>
      <c r="L692">
        <f t="shared" si="11"/>
        <v>1022823.4600000001</v>
      </c>
      <c r="M692">
        <f>+IF(DailyData[[#This Row],[Column1]]&gt;0,DailyData[[#This Row],[Column1]]-L679,0)</f>
        <v>-19909.809999999823</v>
      </c>
      <c r="N692" s="1">
        <f>+IF(DailyData[[#This Row],[Column2]]=0,0,DailyData[[#This Row],[Date]])</f>
        <v>45910</v>
      </c>
    </row>
    <row r="693" spans="3:14" x14ac:dyDescent="0.25">
      <c r="C693" s="1">
        <v>45911</v>
      </c>
      <c r="D693" s="2" t="s">
        <v>9</v>
      </c>
      <c r="E693">
        <v>153181</v>
      </c>
      <c r="F693">
        <v>1.075</v>
      </c>
      <c r="G693">
        <v>1.095</v>
      </c>
      <c r="H693">
        <v>1.04</v>
      </c>
      <c r="I693">
        <v>1.04</v>
      </c>
      <c r="J693">
        <v>9768408</v>
      </c>
      <c r="K693">
        <v>159308.23000000001</v>
      </c>
      <c r="L693">
        <f t="shared" si="11"/>
        <v>0</v>
      </c>
      <c r="M693">
        <f>+IF(DailyData[[#This Row],[Column1]]&gt;0,DailyData[[#This Row],[Column1]]-L680,0)</f>
        <v>0</v>
      </c>
      <c r="N693" s="1">
        <f>+IF(DailyData[[#This Row],[Column2]]=0,0,DailyData[[#This Row],[Date]])</f>
        <v>0</v>
      </c>
    </row>
    <row r="694" spans="3:14" x14ac:dyDescent="0.25">
      <c r="C694" s="1">
        <v>45911</v>
      </c>
      <c r="D694" s="2" t="s">
        <v>10</v>
      </c>
      <c r="E694">
        <v>70000</v>
      </c>
      <c r="F694">
        <v>1.69</v>
      </c>
      <c r="G694">
        <v>1.7050000000000001</v>
      </c>
      <c r="H694">
        <v>1.673</v>
      </c>
      <c r="I694">
        <v>1.6950000000000001</v>
      </c>
      <c r="J694">
        <v>4377914</v>
      </c>
      <c r="K694">
        <v>118650</v>
      </c>
      <c r="L694">
        <f t="shared" si="11"/>
        <v>0</v>
      </c>
      <c r="M694">
        <f>+IF(DailyData[[#This Row],[Column1]]&gt;0,DailyData[[#This Row],[Column1]]-L681,0)</f>
        <v>0</v>
      </c>
      <c r="N694" s="1">
        <f>+IF(DailyData[[#This Row],[Column2]]=0,0,DailyData[[#This Row],[Date]])</f>
        <v>0</v>
      </c>
    </row>
    <row r="695" spans="3:14" x14ac:dyDescent="0.25">
      <c r="C695" s="1">
        <v>45911</v>
      </c>
      <c r="D695" s="2" t="s">
        <v>11</v>
      </c>
      <c r="E695">
        <v>57458</v>
      </c>
      <c r="F695">
        <v>0.52500000000000002</v>
      </c>
      <c r="G695">
        <v>0.53800000000000003</v>
      </c>
      <c r="H695">
        <v>0.52500000000000002</v>
      </c>
      <c r="I695">
        <v>0.53500000000000003</v>
      </c>
      <c r="J695">
        <v>332671</v>
      </c>
      <c r="K695">
        <v>30740.03</v>
      </c>
      <c r="L695">
        <f t="shared" si="11"/>
        <v>0</v>
      </c>
      <c r="M695">
        <f>+IF(DailyData[[#This Row],[Column1]]&gt;0,DailyData[[#This Row],[Column1]]-L682,0)</f>
        <v>0</v>
      </c>
      <c r="N695" s="1">
        <f>+IF(DailyData[[#This Row],[Column2]]=0,0,DailyData[[#This Row],[Date]])</f>
        <v>0</v>
      </c>
    </row>
    <row r="696" spans="3:14" x14ac:dyDescent="0.25">
      <c r="C696" s="1">
        <v>45911</v>
      </c>
      <c r="D696" s="2" t="s">
        <v>12</v>
      </c>
      <c r="E696">
        <v>16361</v>
      </c>
      <c r="F696">
        <v>40.299999999999997</v>
      </c>
      <c r="G696">
        <v>40.479999999999997</v>
      </c>
      <c r="H696">
        <v>40.15</v>
      </c>
      <c r="I696">
        <v>40.270000000000003</v>
      </c>
      <c r="J696">
        <v>5904258</v>
      </c>
      <c r="K696">
        <v>658857.48</v>
      </c>
      <c r="L696">
        <f t="shared" si="11"/>
        <v>0</v>
      </c>
      <c r="M696">
        <f>+IF(DailyData[[#This Row],[Column1]]&gt;0,DailyData[[#This Row],[Column1]]-L683,0)</f>
        <v>0</v>
      </c>
      <c r="N696" s="1">
        <f>+IF(DailyData[[#This Row],[Column2]]=0,0,DailyData[[#This Row],[Date]])</f>
        <v>0</v>
      </c>
    </row>
    <row r="697" spans="3:14" x14ac:dyDescent="0.25">
      <c r="C697" s="1">
        <v>45911</v>
      </c>
      <c r="D697" s="2" t="s">
        <v>13</v>
      </c>
      <c r="E697">
        <v>44090</v>
      </c>
      <c r="F697">
        <v>1.0999999999999999E-2</v>
      </c>
      <c r="G697">
        <v>1.2E-2</v>
      </c>
      <c r="H697">
        <v>0.01</v>
      </c>
      <c r="I697">
        <v>0.01</v>
      </c>
      <c r="J697">
        <v>2957618</v>
      </c>
      <c r="K697">
        <v>440.9</v>
      </c>
      <c r="L697">
        <f t="shared" si="11"/>
        <v>0</v>
      </c>
      <c r="M697">
        <f>+IF(DailyData[[#This Row],[Column1]]&gt;0,DailyData[[#This Row],[Column1]]-L684,0)</f>
        <v>0</v>
      </c>
      <c r="N697" s="1">
        <f>+IF(DailyData[[#This Row],[Column2]]=0,0,DailyData[[#This Row],[Date]])</f>
        <v>0</v>
      </c>
    </row>
    <row r="698" spans="3:14" x14ac:dyDescent="0.25">
      <c r="C698" s="1">
        <v>45911</v>
      </c>
      <c r="D698" s="2" t="s">
        <v>14</v>
      </c>
      <c r="E698">
        <v>0</v>
      </c>
      <c r="F698">
        <v>168.59</v>
      </c>
      <c r="G698">
        <v>168.59</v>
      </c>
      <c r="H698">
        <v>166.82</v>
      </c>
      <c r="I698">
        <v>167.77</v>
      </c>
      <c r="J698">
        <v>1257595</v>
      </c>
      <c r="K698">
        <v>0</v>
      </c>
      <c r="L698">
        <f t="shared" si="11"/>
        <v>0</v>
      </c>
      <c r="M698">
        <f>+IF(DailyData[[#This Row],[Column1]]&gt;0,DailyData[[#This Row],[Column1]]-L685,0)</f>
        <v>0</v>
      </c>
      <c r="N698" s="1">
        <f>+IF(DailyData[[#This Row],[Column2]]=0,0,DailyData[[#This Row],[Date]])</f>
        <v>0</v>
      </c>
    </row>
    <row r="699" spans="3:14" x14ac:dyDescent="0.25">
      <c r="C699" s="1">
        <v>45911</v>
      </c>
      <c r="D699" s="2" t="s">
        <v>15</v>
      </c>
      <c r="E699">
        <v>10000</v>
      </c>
      <c r="F699">
        <v>0.29499999999999998</v>
      </c>
      <c r="G699">
        <v>0.30499999999999999</v>
      </c>
      <c r="H699">
        <v>0.29499999999999998</v>
      </c>
      <c r="I699">
        <v>0.29499999999999998</v>
      </c>
      <c r="J699">
        <v>126567</v>
      </c>
      <c r="K699">
        <v>2950</v>
      </c>
      <c r="L699">
        <f t="shared" si="11"/>
        <v>0</v>
      </c>
      <c r="M699">
        <f>+IF(DailyData[[#This Row],[Column1]]&gt;0,DailyData[[#This Row],[Column1]]-L686,0)</f>
        <v>0</v>
      </c>
      <c r="N699" s="1">
        <f>+IF(DailyData[[#This Row],[Column2]]=0,0,DailyData[[#This Row],[Date]])</f>
        <v>0</v>
      </c>
    </row>
    <row r="700" spans="3:14" x14ac:dyDescent="0.25">
      <c r="C700" s="1">
        <v>45911</v>
      </c>
      <c r="D700" s="2" t="s">
        <v>16</v>
      </c>
      <c r="E700">
        <v>20000</v>
      </c>
      <c r="F700">
        <v>0.33500000000000002</v>
      </c>
      <c r="G700">
        <v>0.33500000000000002</v>
      </c>
      <c r="H700">
        <v>0.33500000000000002</v>
      </c>
      <c r="I700">
        <v>0.33500000000000002</v>
      </c>
      <c r="J700">
        <v>0</v>
      </c>
      <c r="K700">
        <v>6700</v>
      </c>
      <c r="L700">
        <f t="shared" si="11"/>
        <v>0</v>
      </c>
      <c r="M700">
        <f>+IF(DailyData[[#This Row],[Column1]]&gt;0,DailyData[[#This Row],[Column1]]-L687,0)</f>
        <v>0</v>
      </c>
      <c r="N700" s="1">
        <f>+IF(DailyData[[#This Row],[Column2]]=0,0,DailyData[[#This Row],[Date]])</f>
        <v>0</v>
      </c>
    </row>
    <row r="701" spans="3:14" x14ac:dyDescent="0.25">
      <c r="C701" s="1">
        <v>45911</v>
      </c>
      <c r="D701" s="2" t="s">
        <v>17</v>
      </c>
      <c r="E701">
        <v>700000</v>
      </c>
      <c r="F701">
        <v>3.0000000000000001E-3</v>
      </c>
      <c r="G701">
        <v>3.0000000000000001E-3</v>
      </c>
      <c r="H701">
        <v>2E-3</v>
      </c>
      <c r="I701">
        <v>2E-3</v>
      </c>
      <c r="J701">
        <v>74176</v>
      </c>
      <c r="K701">
        <v>1750</v>
      </c>
      <c r="L701">
        <f t="shared" si="11"/>
        <v>0</v>
      </c>
      <c r="M701">
        <f>+IF(DailyData[[#This Row],[Column1]]&gt;0,DailyData[[#This Row],[Column1]]-L688,0)</f>
        <v>0</v>
      </c>
      <c r="N701" s="1">
        <f>+IF(DailyData[[#This Row],[Column2]]=0,0,DailyData[[#This Row],[Date]])</f>
        <v>0</v>
      </c>
    </row>
    <row r="702" spans="3:14" x14ac:dyDescent="0.25">
      <c r="C702" s="1">
        <v>45911</v>
      </c>
      <c r="D702" s="2" t="s">
        <v>18</v>
      </c>
      <c r="E702">
        <v>9412</v>
      </c>
      <c r="F702">
        <v>0.32</v>
      </c>
      <c r="G702">
        <v>0.32</v>
      </c>
      <c r="H702">
        <v>0.30499999999999999</v>
      </c>
      <c r="I702">
        <v>0.31</v>
      </c>
      <c r="J702">
        <v>168964</v>
      </c>
      <c r="K702">
        <v>2917.72</v>
      </c>
      <c r="L702">
        <f t="shared" si="11"/>
        <v>0</v>
      </c>
      <c r="M702">
        <f>+IF(DailyData[[#This Row],[Column1]]&gt;0,DailyData[[#This Row],[Column1]]-L689,0)</f>
        <v>0</v>
      </c>
      <c r="N702" s="1">
        <f>+IF(DailyData[[#This Row],[Column2]]=0,0,DailyData[[#This Row],[Date]])</f>
        <v>0</v>
      </c>
    </row>
    <row r="703" spans="3:14" x14ac:dyDescent="0.25">
      <c r="C703" s="1">
        <v>45911</v>
      </c>
      <c r="D703" s="2" t="s">
        <v>19</v>
      </c>
      <c r="E703">
        <v>6000</v>
      </c>
      <c r="F703">
        <v>0.2</v>
      </c>
      <c r="G703">
        <v>0.2</v>
      </c>
      <c r="H703">
        <v>0.18</v>
      </c>
      <c r="I703">
        <v>0.19</v>
      </c>
      <c r="J703">
        <v>154604</v>
      </c>
      <c r="K703">
        <v>1140</v>
      </c>
      <c r="L703">
        <f t="shared" si="11"/>
        <v>0</v>
      </c>
      <c r="M703">
        <f>+IF(DailyData[[#This Row],[Column1]]&gt;0,DailyData[[#This Row],[Column1]]-L690,0)</f>
        <v>0</v>
      </c>
      <c r="N703" s="1">
        <f>+IF(DailyData[[#This Row],[Column2]]=0,0,DailyData[[#This Row],[Date]])</f>
        <v>0</v>
      </c>
    </row>
    <row r="704" spans="3:14" x14ac:dyDescent="0.25">
      <c r="C704" s="1">
        <v>45911</v>
      </c>
      <c r="D704" s="2" t="s">
        <v>20</v>
      </c>
      <c r="E704">
        <v>0</v>
      </c>
      <c r="F704">
        <v>38.18</v>
      </c>
      <c r="G704">
        <v>38.19</v>
      </c>
      <c r="H704">
        <v>37.74</v>
      </c>
      <c r="I704">
        <v>37.950000000000003</v>
      </c>
      <c r="J704">
        <v>3035430</v>
      </c>
      <c r="K704">
        <v>0</v>
      </c>
      <c r="L704">
        <f t="shared" si="11"/>
        <v>0</v>
      </c>
      <c r="M704">
        <f>+IF(DailyData[[#This Row],[Column1]]&gt;0,DailyData[[#This Row],[Column1]]-L691,0)</f>
        <v>0</v>
      </c>
      <c r="N704" s="1">
        <f>+IF(DailyData[[#This Row],[Column2]]=0,0,DailyData[[#This Row],[Date]])</f>
        <v>0</v>
      </c>
    </row>
    <row r="705" spans="3:14" x14ac:dyDescent="0.25">
      <c r="C705" s="1">
        <v>45911</v>
      </c>
      <c r="D705" s="2" t="s">
        <v>21</v>
      </c>
      <c r="E705">
        <v>1288</v>
      </c>
      <c r="F705">
        <v>24.99</v>
      </c>
      <c r="G705">
        <v>25.15</v>
      </c>
      <c r="H705">
        <v>24.82</v>
      </c>
      <c r="I705">
        <v>25.07</v>
      </c>
      <c r="J705">
        <v>3846992</v>
      </c>
      <c r="K705">
        <v>32290.16</v>
      </c>
      <c r="L705">
        <f t="shared" si="11"/>
        <v>1015744.52</v>
      </c>
      <c r="M705">
        <f>+IF(DailyData[[#This Row],[Column1]]&gt;0,DailyData[[#This Row],[Column1]]-L692,0)</f>
        <v>-7078.9400000000605</v>
      </c>
      <c r="N705" s="1">
        <f>+IF(DailyData[[#This Row],[Column2]]=0,0,DailyData[[#This Row],[Date]])</f>
        <v>45911</v>
      </c>
    </row>
    <row r="706" spans="3:14" x14ac:dyDescent="0.25">
      <c r="C706" s="1">
        <v>45912</v>
      </c>
      <c r="D706" s="2" t="s">
        <v>9</v>
      </c>
      <c r="E706">
        <v>153181</v>
      </c>
      <c r="F706">
        <v>1.03</v>
      </c>
      <c r="G706">
        <v>1.0649999999999999</v>
      </c>
      <c r="H706">
        <v>1.02</v>
      </c>
      <c r="I706">
        <v>1.0349999999999999</v>
      </c>
      <c r="J706">
        <v>4086040</v>
      </c>
      <c r="K706">
        <v>158542.32999999999</v>
      </c>
      <c r="L706">
        <f t="shared" si="11"/>
        <v>0</v>
      </c>
      <c r="M706">
        <f>+IF(DailyData[[#This Row],[Column1]]&gt;0,DailyData[[#This Row],[Column1]]-L693,0)</f>
        <v>0</v>
      </c>
      <c r="N706" s="1">
        <f>+IF(DailyData[[#This Row],[Column2]]=0,0,DailyData[[#This Row],[Date]])</f>
        <v>0</v>
      </c>
    </row>
    <row r="707" spans="3:14" x14ac:dyDescent="0.25">
      <c r="C707" s="1">
        <v>45912</v>
      </c>
      <c r="D707" s="2" t="s">
        <v>10</v>
      </c>
      <c r="E707">
        <v>70000</v>
      </c>
      <c r="F707">
        <v>1.7050000000000001</v>
      </c>
      <c r="G707">
        <v>1.73</v>
      </c>
      <c r="H707">
        <v>1.69</v>
      </c>
      <c r="I707">
        <v>1.69</v>
      </c>
      <c r="J707">
        <v>3467975</v>
      </c>
      <c r="K707">
        <v>118300</v>
      </c>
      <c r="L707">
        <f t="shared" si="11"/>
        <v>0</v>
      </c>
      <c r="M707">
        <f>+IF(DailyData[[#This Row],[Column1]]&gt;0,DailyData[[#This Row],[Column1]]-L694,0)</f>
        <v>0</v>
      </c>
      <c r="N707" s="1">
        <f>+IF(DailyData[[#This Row],[Column2]]=0,0,DailyData[[#This Row],[Date]])</f>
        <v>0</v>
      </c>
    </row>
    <row r="708" spans="3:14" x14ac:dyDescent="0.25">
      <c r="C708" s="1">
        <v>45912</v>
      </c>
      <c r="D708" s="2" t="s">
        <v>11</v>
      </c>
      <c r="E708">
        <v>57458</v>
      </c>
      <c r="F708">
        <v>0.54</v>
      </c>
      <c r="G708">
        <v>0.54500000000000004</v>
      </c>
      <c r="H708">
        <v>0.53</v>
      </c>
      <c r="I708">
        <v>0.53</v>
      </c>
      <c r="J708">
        <v>184476</v>
      </c>
      <c r="K708">
        <v>30452.74</v>
      </c>
      <c r="L708">
        <f t="shared" si="11"/>
        <v>0</v>
      </c>
      <c r="M708">
        <f>+IF(DailyData[[#This Row],[Column1]]&gt;0,DailyData[[#This Row],[Column1]]-L695,0)</f>
        <v>0</v>
      </c>
      <c r="N708" s="1">
        <f>+IF(DailyData[[#This Row],[Column2]]=0,0,DailyData[[#This Row],[Date]])</f>
        <v>0</v>
      </c>
    </row>
    <row r="709" spans="3:14" x14ac:dyDescent="0.25">
      <c r="C709" s="1">
        <v>45912</v>
      </c>
      <c r="D709" s="2" t="s">
        <v>12</v>
      </c>
      <c r="E709">
        <v>16361</v>
      </c>
      <c r="F709">
        <v>40.619999999999997</v>
      </c>
      <c r="G709">
        <v>40.89</v>
      </c>
      <c r="H709">
        <v>40.46</v>
      </c>
      <c r="I709">
        <v>40.81</v>
      </c>
      <c r="J709">
        <v>5093254</v>
      </c>
      <c r="K709">
        <v>667692.43000000005</v>
      </c>
      <c r="L709">
        <f t="shared" si="11"/>
        <v>0</v>
      </c>
      <c r="M709">
        <f>+IF(DailyData[[#This Row],[Column1]]&gt;0,DailyData[[#This Row],[Column1]]-L696,0)</f>
        <v>0</v>
      </c>
      <c r="N709" s="1">
        <f>+IF(DailyData[[#This Row],[Column2]]=0,0,DailyData[[#This Row],[Date]])</f>
        <v>0</v>
      </c>
    </row>
    <row r="710" spans="3:14" x14ac:dyDescent="0.25">
      <c r="C710" s="1">
        <v>45912</v>
      </c>
      <c r="D710" s="2" t="s">
        <v>13</v>
      </c>
      <c r="E710">
        <v>44090</v>
      </c>
      <c r="F710">
        <v>0.01</v>
      </c>
      <c r="G710">
        <v>1.0999999999999999E-2</v>
      </c>
      <c r="H710">
        <v>0.01</v>
      </c>
      <c r="I710">
        <v>1.0999999999999999E-2</v>
      </c>
      <c r="J710">
        <v>1590924</v>
      </c>
      <c r="K710">
        <v>484.99</v>
      </c>
      <c r="L710">
        <f t="shared" si="11"/>
        <v>0</v>
      </c>
      <c r="M710">
        <f>+IF(DailyData[[#This Row],[Column1]]&gt;0,DailyData[[#This Row],[Column1]]-L697,0)</f>
        <v>0</v>
      </c>
      <c r="N710" s="1">
        <f>+IF(DailyData[[#This Row],[Column2]]=0,0,DailyData[[#This Row],[Date]])</f>
        <v>0</v>
      </c>
    </row>
    <row r="711" spans="3:14" x14ac:dyDescent="0.25">
      <c r="C711" s="1">
        <v>45912</v>
      </c>
      <c r="D711" s="2" t="s">
        <v>14</v>
      </c>
      <c r="E711">
        <v>0</v>
      </c>
      <c r="F711">
        <v>167.41</v>
      </c>
      <c r="G711">
        <v>170</v>
      </c>
      <c r="H711">
        <v>167.36</v>
      </c>
      <c r="I711">
        <v>169.97</v>
      </c>
      <c r="J711">
        <v>1236459</v>
      </c>
      <c r="K711">
        <v>0</v>
      </c>
      <c r="L711">
        <f t="shared" si="11"/>
        <v>0</v>
      </c>
      <c r="M711">
        <f>+IF(DailyData[[#This Row],[Column1]]&gt;0,DailyData[[#This Row],[Column1]]-L698,0)</f>
        <v>0</v>
      </c>
      <c r="N711" s="1">
        <f>+IF(DailyData[[#This Row],[Column2]]=0,0,DailyData[[#This Row],[Date]])</f>
        <v>0</v>
      </c>
    </row>
    <row r="712" spans="3:14" x14ac:dyDescent="0.25">
      <c r="C712" s="1">
        <v>45912</v>
      </c>
      <c r="D712" s="2" t="s">
        <v>15</v>
      </c>
      <c r="E712">
        <v>10000</v>
      </c>
      <c r="F712">
        <v>0.30499999999999999</v>
      </c>
      <c r="G712">
        <v>0.30499999999999999</v>
      </c>
      <c r="H712">
        <v>0.28999999999999998</v>
      </c>
      <c r="I712">
        <v>0.30499999999999999</v>
      </c>
      <c r="J712">
        <v>211647</v>
      </c>
      <c r="K712">
        <v>3050</v>
      </c>
      <c r="L712">
        <f t="shared" si="11"/>
        <v>0</v>
      </c>
      <c r="M712">
        <f>+IF(DailyData[[#This Row],[Column1]]&gt;0,DailyData[[#This Row],[Column1]]-L699,0)</f>
        <v>0</v>
      </c>
      <c r="N712" s="1">
        <f>+IF(DailyData[[#This Row],[Column2]]=0,0,DailyData[[#This Row],[Date]])</f>
        <v>0</v>
      </c>
    </row>
    <row r="713" spans="3:14" x14ac:dyDescent="0.25">
      <c r="C713" s="1">
        <v>45912</v>
      </c>
      <c r="D713" s="2" t="s">
        <v>16</v>
      </c>
      <c r="E713">
        <v>20000</v>
      </c>
      <c r="F713">
        <v>0.29499999999999998</v>
      </c>
      <c r="G713">
        <v>0.315</v>
      </c>
      <c r="H713">
        <v>0.28499999999999998</v>
      </c>
      <c r="I713">
        <v>0.3</v>
      </c>
      <c r="J713">
        <v>1054289</v>
      </c>
      <c r="K713">
        <v>6000</v>
      </c>
      <c r="L713">
        <f t="shared" si="11"/>
        <v>0</v>
      </c>
      <c r="M713">
        <f>+IF(DailyData[[#This Row],[Column1]]&gt;0,DailyData[[#This Row],[Column1]]-L700,0)</f>
        <v>0</v>
      </c>
      <c r="N713" s="1">
        <f>+IF(DailyData[[#This Row],[Column2]]=0,0,DailyData[[#This Row],[Date]])</f>
        <v>0</v>
      </c>
    </row>
    <row r="714" spans="3:14" x14ac:dyDescent="0.25">
      <c r="C714" s="1">
        <v>45912</v>
      </c>
      <c r="D714" s="2" t="s">
        <v>17</v>
      </c>
      <c r="E714">
        <v>700000</v>
      </c>
      <c r="F714">
        <v>2E-3</v>
      </c>
      <c r="G714">
        <v>2E-3</v>
      </c>
      <c r="H714">
        <v>2E-3</v>
      </c>
      <c r="I714">
        <v>2E-3</v>
      </c>
      <c r="J714">
        <v>121041</v>
      </c>
      <c r="K714">
        <v>1750</v>
      </c>
      <c r="L714">
        <f t="shared" si="11"/>
        <v>0</v>
      </c>
      <c r="M714">
        <f>+IF(DailyData[[#This Row],[Column1]]&gt;0,DailyData[[#This Row],[Column1]]-L701,0)</f>
        <v>0</v>
      </c>
      <c r="N714" s="1">
        <f>+IF(DailyData[[#This Row],[Column2]]=0,0,DailyData[[#This Row],[Date]])</f>
        <v>0</v>
      </c>
    </row>
    <row r="715" spans="3:14" x14ac:dyDescent="0.25">
      <c r="C715" s="1">
        <v>45912</v>
      </c>
      <c r="D715" s="2" t="s">
        <v>18</v>
      </c>
      <c r="E715">
        <v>9412</v>
      </c>
      <c r="F715">
        <v>0.31</v>
      </c>
      <c r="G715">
        <v>0.31</v>
      </c>
      <c r="H715">
        <v>0.30499999999999999</v>
      </c>
      <c r="I715">
        <v>0.30499999999999999</v>
      </c>
      <c r="J715">
        <v>98105</v>
      </c>
      <c r="K715">
        <v>2870.66</v>
      </c>
      <c r="L715">
        <f t="shared" si="11"/>
        <v>0</v>
      </c>
      <c r="M715">
        <f>+IF(DailyData[[#This Row],[Column1]]&gt;0,DailyData[[#This Row],[Column1]]-L702,0)</f>
        <v>0</v>
      </c>
      <c r="N715" s="1">
        <f>+IF(DailyData[[#This Row],[Column2]]=0,0,DailyData[[#This Row],[Date]])</f>
        <v>0</v>
      </c>
    </row>
    <row r="716" spans="3:14" x14ac:dyDescent="0.25">
      <c r="C716" s="1">
        <v>45912</v>
      </c>
      <c r="D716" s="2" t="s">
        <v>19</v>
      </c>
      <c r="E716">
        <v>6000</v>
      </c>
      <c r="F716">
        <v>0.19500000000000001</v>
      </c>
      <c r="G716">
        <v>0.19500000000000001</v>
      </c>
      <c r="H716">
        <v>0.18</v>
      </c>
      <c r="I716">
        <v>0.188</v>
      </c>
      <c r="J716">
        <v>91996</v>
      </c>
      <c r="K716">
        <v>1125</v>
      </c>
      <c r="L716">
        <f t="shared" si="11"/>
        <v>0</v>
      </c>
      <c r="M716">
        <f>+IF(DailyData[[#This Row],[Column1]]&gt;0,DailyData[[#This Row],[Column1]]-L703,0)</f>
        <v>0</v>
      </c>
      <c r="N716" s="1">
        <f>+IF(DailyData[[#This Row],[Column2]]=0,0,DailyData[[#This Row],[Date]])</f>
        <v>0</v>
      </c>
    </row>
    <row r="717" spans="3:14" x14ac:dyDescent="0.25">
      <c r="C717" s="1">
        <v>45912</v>
      </c>
      <c r="D717" s="2" t="s">
        <v>20</v>
      </c>
      <c r="E717">
        <v>0</v>
      </c>
      <c r="F717">
        <v>38.200000000000003</v>
      </c>
      <c r="G717">
        <v>38.56</v>
      </c>
      <c r="H717">
        <v>38.1</v>
      </c>
      <c r="I717">
        <v>38.479999999999997</v>
      </c>
      <c r="J717">
        <v>7567953</v>
      </c>
      <c r="K717">
        <v>0</v>
      </c>
      <c r="L717">
        <f t="shared" si="11"/>
        <v>0</v>
      </c>
      <c r="M717">
        <f>+IF(DailyData[[#This Row],[Column1]]&gt;0,DailyData[[#This Row],[Column1]]-L704,0)</f>
        <v>0</v>
      </c>
      <c r="N717" s="1">
        <f>+IF(DailyData[[#This Row],[Column2]]=0,0,DailyData[[#This Row],[Date]])</f>
        <v>0</v>
      </c>
    </row>
    <row r="718" spans="3:14" x14ac:dyDescent="0.25">
      <c r="C718" s="1">
        <v>45912</v>
      </c>
      <c r="D718" s="2" t="s">
        <v>21</v>
      </c>
      <c r="E718">
        <v>1288</v>
      </c>
      <c r="F718">
        <v>25</v>
      </c>
      <c r="G718">
        <v>25.02</v>
      </c>
      <c r="H718">
        <v>24.14</v>
      </c>
      <c r="I718">
        <v>24.22</v>
      </c>
      <c r="J718">
        <v>6196737</v>
      </c>
      <c r="K718">
        <v>31195.360000000001</v>
      </c>
      <c r="L718">
        <f t="shared" si="11"/>
        <v>1021463.51</v>
      </c>
      <c r="M718">
        <f>+IF(DailyData[[#This Row],[Column1]]&gt;0,DailyData[[#This Row],[Column1]]-L705,0)</f>
        <v>5718.9899999999907</v>
      </c>
      <c r="N718" s="1">
        <f>+IF(DailyData[[#This Row],[Column2]]=0,0,DailyData[[#This Row],[Date]])</f>
        <v>45912</v>
      </c>
    </row>
    <row r="719" spans="3:14" x14ac:dyDescent="0.25">
      <c r="C719" s="1">
        <v>45915</v>
      </c>
      <c r="D719" s="2" t="s">
        <v>9</v>
      </c>
      <c r="E719">
        <v>153181</v>
      </c>
      <c r="F719">
        <v>1.04</v>
      </c>
      <c r="G719">
        <v>1.0549999999999999</v>
      </c>
      <c r="H719">
        <v>0.99</v>
      </c>
      <c r="I719">
        <v>1.03</v>
      </c>
      <c r="J719">
        <v>5306262</v>
      </c>
      <c r="K719">
        <v>157776.43</v>
      </c>
      <c r="L719">
        <f t="shared" si="11"/>
        <v>0</v>
      </c>
      <c r="M719">
        <f>+IF(DailyData[[#This Row],[Column1]]&gt;0,DailyData[[#This Row],[Column1]]-L706,0)</f>
        <v>0</v>
      </c>
      <c r="N719" s="1">
        <f>+IF(DailyData[[#This Row],[Column2]]=0,0,DailyData[[#This Row],[Date]])</f>
        <v>0</v>
      </c>
    </row>
    <row r="720" spans="3:14" x14ac:dyDescent="0.25">
      <c r="C720" s="1">
        <v>45915</v>
      </c>
      <c r="D720" s="2" t="s">
        <v>10</v>
      </c>
      <c r="E720">
        <v>70000</v>
      </c>
      <c r="F720">
        <v>1.69</v>
      </c>
      <c r="G720">
        <v>1.81</v>
      </c>
      <c r="H720">
        <v>1.675</v>
      </c>
      <c r="I720">
        <v>1.8</v>
      </c>
      <c r="J720">
        <v>8070660</v>
      </c>
      <c r="K720">
        <v>126000</v>
      </c>
      <c r="L720">
        <f t="shared" si="11"/>
        <v>0</v>
      </c>
      <c r="M720">
        <f>+IF(DailyData[[#This Row],[Column1]]&gt;0,DailyData[[#This Row],[Column1]]-L707,0)</f>
        <v>0</v>
      </c>
      <c r="N720" s="1">
        <f>+IF(DailyData[[#This Row],[Column2]]=0,0,DailyData[[#This Row],[Date]])</f>
        <v>0</v>
      </c>
    </row>
    <row r="721" spans="3:14" x14ac:dyDescent="0.25">
      <c r="C721" s="1">
        <v>45915</v>
      </c>
      <c r="D721" s="2" t="s">
        <v>11</v>
      </c>
      <c r="E721">
        <v>57458</v>
      </c>
      <c r="F721">
        <v>0.53</v>
      </c>
      <c r="G721">
        <v>0.54</v>
      </c>
      <c r="H721">
        <v>0.52500000000000002</v>
      </c>
      <c r="I721">
        <v>0.52500000000000002</v>
      </c>
      <c r="J721">
        <v>282659</v>
      </c>
      <c r="K721">
        <v>30165.45</v>
      </c>
      <c r="L721">
        <f t="shared" ref="L721:L784" si="12">+IF(C722&lt;&gt;C721,SUM(K709:K721),0)</f>
        <v>0</v>
      </c>
      <c r="M721">
        <f>+IF(DailyData[[#This Row],[Column1]]&gt;0,DailyData[[#This Row],[Column1]]-L708,0)</f>
        <v>0</v>
      </c>
      <c r="N721" s="1">
        <f>+IF(DailyData[[#This Row],[Column2]]=0,0,DailyData[[#This Row],[Date]])</f>
        <v>0</v>
      </c>
    </row>
    <row r="722" spans="3:14" x14ac:dyDescent="0.25">
      <c r="C722" s="1">
        <v>45915</v>
      </c>
      <c r="D722" s="2" t="s">
        <v>12</v>
      </c>
      <c r="E722">
        <v>16361</v>
      </c>
      <c r="F722">
        <v>40.75</v>
      </c>
      <c r="G722">
        <v>40.85</v>
      </c>
      <c r="H722">
        <v>40.375</v>
      </c>
      <c r="I722">
        <v>40.58</v>
      </c>
      <c r="J722">
        <v>4485886</v>
      </c>
      <c r="K722">
        <v>663929.41</v>
      </c>
      <c r="L722">
        <f t="shared" si="12"/>
        <v>0</v>
      </c>
      <c r="M722">
        <f>+IF(DailyData[[#This Row],[Column1]]&gt;0,DailyData[[#This Row],[Column1]]-L709,0)</f>
        <v>0</v>
      </c>
      <c r="N722" s="1">
        <f>+IF(DailyData[[#This Row],[Column2]]=0,0,DailyData[[#This Row],[Date]])</f>
        <v>0</v>
      </c>
    </row>
    <row r="723" spans="3:14" x14ac:dyDescent="0.25">
      <c r="C723" s="1">
        <v>45915</v>
      </c>
      <c r="D723" s="2" t="s">
        <v>13</v>
      </c>
      <c r="E723">
        <v>44090</v>
      </c>
      <c r="F723">
        <v>1.0999999999999999E-2</v>
      </c>
      <c r="G723">
        <v>1.2E-2</v>
      </c>
      <c r="H723">
        <v>0.01</v>
      </c>
      <c r="I723">
        <v>1.0999999999999999E-2</v>
      </c>
      <c r="J723">
        <v>735063</v>
      </c>
      <c r="K723">
        <v>484.99</v>
      </c>
      <c r="L723">
        <f t="shared" si="12"/>
        <v>0</v>
      </c>
      <c r="M723">
        <f>+IF(DailyData[[#This Row],[Column1]]&gt;0,DailyData[[#This Row],[Column1]]-L710,0)</f>
        <v>0</v>
      </c>
      <c r="N723" s="1">
        <f>+IF(DailyData[[#This Row],[Column2]]=0,0,DailyData[[#This Row],[Date]])</f>
        <v>0</v>
      </c>
    </row>
    <row r="724" spans="3:14" x14ac:dyDescent="0.25">
      <c r="C724" s="1">
        <v>45915</v>
      </c>
      <c r="D724" s="2" t="s">
        <v>14</v>
      </c>
      <c r="E724">
        <v>0</v>
      </c>
      <c r="F724">
        <v>168.69</v>
      </c>
      <c r="G724">
        <v>168.98</v>
      </c>
      <c r="H724">
        <v>167.74</v>
      </c>
      <c r="I724">
        <v>168.9</v>
      </c>
      <c r="J724">
        <v>1867293</v>
      </c>
      <c r="K724">
        <v>0</v>
      </c>
      <c r="L724">
        <f t="shared" si="12"/>
        <v>0</v>
      </c>
      <c r="M724">
        <f>+IF(DailyData[[#This Row],[Column1]]&gt;0,DailyData[[#This Row],[Column1]]-L711,0)</f>
        <v>0</v>
      </c>
      <c r="N724" s="1">
        <f>+IF(DailyData[[#This Row],[Column2]]=0,0,DailyData[[#This Row],[Date]])</f>
        <v>0</v>
      </c>
    </row>
    <row r="725" spans="3:14" x14ac:dyDescent="0.25">
      <c r="C725" s="1">
        <v>45915</v>
      </c>
      <c r="D725" s="2" t="s">
        <v>15</v>
      </c>
      <c r="E725">
        <v>10000</v>
      </c>
      <c r="F725">
        <v>0.30499999999999999</v>
      </c>
      <c r="G725">
        <v>0.32500000000000001</v>
      </c>
      <c r="H725">
        <v>0.3</v>
      </c>
      <c r="I725">
        <v>0.32</v>
      </c>
      <c r="J725">
        <v>8065097</v>
      </c>
      <c r="K725">
        <v>3200</v>
      </c>
      <c r="L725">
        <f t="shared" si="12"/>
        <v>0</v>
      </c>
      <c r="M725">
        <f>+IF(DailyData[[#This Row],[Column1]]&gt;0,DailyData[[#This Row],[Column1]]-L712,0)</f>
        <v>0</v>
      </c>
      <c r="N725" s="1">
        <f>+IF(DailyData[[#This Row],[Column2]]=0,0,DailyData[[#This Row],[Date]])</f>
        <v>0</v>
      </c>
    </row>
    <row r="726" spans="3:14" x14ac:dyDescent="0.25">
      <c r="C726" s="1">
        <v>45915</v>
      </c>
      <c r="D726" s="2" t="s">
        <v>16</v>
      </c>
      <c r="E726">
        <v>20000</v>
      </c>
      <c r="F726">
        <v>0.3</v>
      </c>
      <c r="G726">
        <v>0.315</v>
      </c>
      <c r="H726">
        <v>0.3</v>
      </c>
      <c r="I726">
        <v>0.30499999999999999</v>
      </c>
      <c r="J726">
        <v>324756</v>
      </c>
      <c r="K726">
        <v>6100</v>
      </c>
      <c r="L726">
        <f t="shared" si="12"/>
        <v>0</v>
      </c>
      <c r="M726">
        <f>+IF(DailyData[[#This Row],[Column1]]&gt;0,DailyData[[#This Row],[Column1]]-L713,0)</f>
        <v>0</v>
      </c>
      <c r="N726" s="1">
        <f>+IF(DailyData[[#This Row],[Column2]]=0,0,DailyData[[#This Row],[Date]])</f>
        <v>0</v>
      </c>
    </row>
    <row r="727" spans="3:14" x14ac:dyDescent="0.25">
      <c r="C727" s="1">
        <v>45915</v>
      </c>
      <c r="D727" s="2" t="s">
        <v>17</v>
      </c>
      <c r="E727">
        <v>700000</v>
      </c>
      <c r="F727">
        <v>3.0000000000000001E-3</v>
      </c>
      <c r="G727">
        <v>3.0000000000000001E-3</v>
      </c>
      <c r="H727">
        <v>2E-3</v>
      </c>
      <c r="I727">
        <v>2E-3</v>
      </c>
      <c r="J727">
        <v>1514966</v>
      </c>
      <c r="K727">
        <v>1750</v>
      </c>
      <c r="L727">
        <f t="shared" si="12"/>
        <v>0</v>
      </c>
      <c r="M727">
        <f>+IF(DailyData[[#This Row],[Column1]]&gt;0,DailyData[[#This Row],[Column1]]-L714,0)</f>
        <v>0</v>
      </c>
      <c r="N727" s="1">
        <f>+IF(DailyData[[#This Row],[Column2]]=0,0,DailyData[[#This Row],[Date]])</f>
        <v>0</v>
      </c>
    </row>
    <row r="728" spans="3:14" x14ac:dyDescent="0.25">
      <c r="C728" s="1">
        <v>45915</v>
      </c>
      <c r="D728" s="2" t="s">
        <v>18</v>
      </c>
      <c r="E728">
        <v>9412</v>
      </c>
      <c r="F728">
        <v>0.3</v>
      </c>
      <c r="G728">
        <v>0.31</v>
      </c>
      <c r="H728">
        <v>0.3</v>
      </c>
      <c r="I728">
        <v>0.3</v>
      </c>
      <c r="J728">
        <v>190415</v>
      </c>
      <c r="K728">
        <v>2823.6</v>
      </c>
      <c r="L728">
        <f t="shared" si="12"/>
        <v>0</v>
      </c>
      <c r="M728">
        <f>+IF(DailyData[[#This Row],[Column1]]&gt;0,DailyData[[#This Row],[Column1]]-L715,0)</f>
        <v>0</v>
      </c>
      <c r="N728" s="1">
        <f>+IF(DailyData[[#This Row],[Column2]]=0,0,DailyData[[#This Row],[Date]])</f>
        <v>0</v>
      </c>
    </row>
    <row r="729" spans="3:14" x14ac:dyDescent="0.25">
      <c r="C729" s="1">
        <v>45915</v>
      </c>
      <c r="D729" s="2" t="s">
        <v>19</v>
      </c>
      <c r="E729">
        <v>6000</v>
      </c>
      <c r="F729">
        <v>0.19</v>
      </c>
      <c r="G729">
        <v>0.2</v>
      </c>
      <c r="H729">
        <v>0.17499999999999999</v>
      </c>
      <c r="I729">
        <v>0.19</v>
      </c>
      <c r="J729">
        <v>162424</v>
      </c>
      <c r="K729">
        <v>1140</v>
      </c>
      <c r="L729">
        <f t="shared" si="12"/>
        <v>0</v>
      </c>
      <c r="M729">
        <f>+IF(DailyData[[#This Row],[Column1]]&gt;0,DailyData[[#This Row],[Column1]]-L716,0)</f>
        <v>0</v>
      </c>
      <c r="N729" s="1">
        <f>+IF(DailyData[[#This Row],[Column2]]=0,0,DailyData[[#This Row],[Date]])</f>
        <v>0</v>
      </c>
    </row>
    <row r="730" spans="3:14" x14ac:dyDescent="0.25">
      <c r="C730" s="1">
        <v>45915</v>
      </c>
      <c r="D730" s="2" t="s">
        <v>20</v>
      </c>
      <c r="E730">
        <v>0</v>
      </c>
      <c r="F730">
        <v>38.4</v>
      </c>
      <c r="G730">
        <v>38.82</v>
      </c>
      <c r="H730">
        <v>38.270000000000003</v>
      </c>
      <c r="I730">
        <v>38.729999999999997</v>
      </c>
      <c r="J730">
        <v>2907211</v>
      </c>
      <c r="K730">
        <v>0</v>
      </c>
      <c r="L730">
        <f t="shared" si="12"/>
        <v>0</v>
      </c>
      <c r="M730">
        <f>+IF(DailyData[[#This Row],[Column1]]&gt;0,DailyData[[#This Row],[Column1]]-L717,0)</f>
        <v>0</v>
      </c>
      <c r="N730" s="1">
        <f>+IF(DailyData[[#This Row],[Column2]]=0,0,DailyData[[#This Row],[Date]])</f>
        <v>0</v>
      </c>
    </row>
    <row r="731" spans="3:14" x14ac:dyDescent="0.25">
      <c r="C731" s="1">
        <v>45915</v>
      </c>
      <c r="D731" s="2" t="s">
        <v>21</v>
      </c>
      <c r="E731">
        <v>1288</v>
      </c>
      <c r="F731">
        <v>24.25</v>
      </c>
      <c r="G731">
        <v>24.33</v>
      </c>
      <c r="H731">
        <v>24</v>
      </c>
      <c r="I731">
        <v>24.21</v>
      </c>
      <c r="J731">
        <v>3427037</v>
      </c>
      <c r="K731">
        <v>31182.48</v>
      </c>
      <c r="L731">
        <f t="shared" si="12"/>
        <v>1024552.36</v>
      </c>
      <c r="M731">
        <f>+IF(DailyData[[#This Row],[Column1]]&gt;0,DailyData[[#This Row],[Column1]]-L718,0)</f>
        <v>3088.8499999999767</v>
      </c>
      <c r="N731" s="1">
        <f>+IF(DailyData[[#This Row],[Column2]]=0,0,DailyData[[#This Row],[Date]])</f>
        <v>45915</v>
      </c>
    </row>
    <row r="732" spans="3:14" x14ac:dyDescent="0.25">
      <c r="C732" s="1">
        <v>45916</v>
      </c>
      <c r="D732" s="2" t="s">
        <v>9</v>
      </c>
      <c r="E732">
        <v>153181</v>
      </c>
      <c r="F732">
        <v>1.04</v>
      </c>
      <c r="G732">
        <v>1.0649999999999999</v>
      </c>
      <c r="H732">
        <v>1.01</v>
      </c>
      <c r="I732">
        <v>1.0149999999999999</v>
      </c>
      <c r="J732">
        <v>3772234</v>
      </c>
      <c r="K732">
        <v>155478.71</v>
      </c>
      <c r="L732">
        <f t="shared" si="12"/>
        <v>0</v>
      </c>
      <c r="M732">
        <f>+IF(DailyData[[#This Row],[Column1]]&gt;0,DailyData[[#This Row],[Column1]]-L719,0)</f>
        <v>0</v>
      </c>
      <c r="N732" s="1">
        <f>+IF(DailyData[[#This Row],[Column2]]=0,0,DailyData[[#This Row],[Date]])</f>
        <v>0</v>
      </c>
    </row>
    <row r="733" spans="3:14" x14ac:dyDescent="0.25">
      <c r="C733" s="1">
        <v>45916</v>
      </c>
      <c r="D733" s="2" t="s">
        <v>10</v>
      </c>
      <c r="E733">
        <v>70000</v>
      </c>
      <c r="F733">
        <v>1.7749999999999999</v>
      </c>
      <c r="G733">
        <v>1.8049999999999999</v>
      </c>
      <c r="H733">
        <v>1.7749999999999999</v>
      </c>
      <c r="I733">
        <v>1.8</v>
      </c>
      <c r="J733">
        <v>7551642</v>
      </c>
      <c r="K733">
        <v>126000</v>
      </c>
      <c r="L733">
        <f t="shared" si="12"/>
        <v>0</v>
      </c>
      <c r="M733">
        <f>+IF(DailyData[[#This Row],[Column1]]&gt;0,DailyData[[#This Row],[Column1]]-L720,0)</f>
        <v>0</v>
      </c>
      <c r="N733" s="1">
        <f>+IF(DailyData[[#This Row],[Column2]]=0,0,DailyData[[#This Row],[Date]])</f>
        <v>0</v>
      </c>
    </row>
    <row r="734" spans="3:14" x14ac:dyDescent="0.25">
      <c r="C734" s="1">
        <v>45916</v>
      </c>
      <c r="D734" s="2" t="s">
        <v>11</v>
      </c>
      <c r="E734">
        <v>57458</v>
      </c>
      <c r="F734">
        <v>0.53</v>
      </c>
      <c r="G734">
        <v>0.53500000000000003</v>
      </c>
      <c r="H734">
        <v>0.52500000000000002</v>
      </c>
      <c r="I734">
        <v>0.53</v>
      </c>
      <c r="J734">
        <v>120215</v>
      </c>
      <c r="K734">
        <v>30452.74</v>
      </c>
      <c r="L734">
        <f t="shared" si="12"/>
        <v>0</v>
      </c>
      <c r="M734">
        <f>+IF(DailyData[[#This Row],[Column1]]&gt;0,DailyData[[#This Row],[Column1]]-L721,0)</f>
        <v>0</v>
      </c>
      <c r="N734" s="1">
        <f>+IF(DailyData[[#This Row],[Column2]]=0,0,DailyData[[#This Row],[Date]])</f>
        <v>0</v>
      </c>
    </row>
    <row r="735" spans="3:14" x14ac:dyDescent="0.25">
      <c r="C735" s="1">
        <v>45916</v>
      </c>
      <c r="D735" s="2" t="s">
        <v>12</v>
      </c>
      <c r="E735">
        <v>16361</v>
      </c>
      <c r="F735">
        <v>40.92</v>
      </c>
      <c r="G735">
        <v>41.14</v>
      </c>
      <c r="H735">
        <v>40.770000000000003</v>
      </c>
      <c r="I735">
        <v>40.770000000000003</v>
      </c>
      <c r="J735">
        <v>7464437</v>
      </c>
      <c r="K735">
        <v>667037.98</v>
      </c>
      <c r="L735">
        <f t="shared" si="12"/>
        <v>0</v>
      </c>
      <c r="M735">
        <f>+IF(DailyData[[#This Row],[Column1]]&gt;0,DailyData[[#This Row],[Column1]]-L722,0)</f>
        <v>0</v>
      </c>
      <c r="N735" s="1">
        <f>+IF(DailyData[[#This Row],[Column2]]=0,0,DailyData[[#This Row],[Date]])</f>
        <v>0</v>
      </c>
    </row>
    <row r="736" spans="3:14" x14ac:dyDescent="0.25">
      <c r="C736" s="1">
        <v>45916</v>
      </c>
      <c r="D736" s="2" t="s">
        <v>13</v>
      </c>
      <c r="E736">
        <v>44090</v>
      </c>
      <c r="F736">
        <v>1.0999999999999999E-2</v>
      </c>
      <c r="G736">
        <v>1.2E-2</v>
      </c>
      <c r="H736">
        <v>0.01</v>
      </c>
      <c r="I736">
        <v>0.01</v>
      </c>
      <c r="J736">
        <v>446043</v>
      </c>
      <c r="K736">
        <v>440.9</v>
      </c>
      <c r="L736">
        <f t="shared" si="12"/>
        <v>0</v>
      </c>
      <c r="M736">
        <f>+IF(DailyData[[#This Row],[Column1]]&gt;0,DailyData[[#This Row],[Column1]]-L723,0)</f>
        <v>0</v>
      </c>
      <c r="N736" s="1">
        <f>+IF(DailyData[[#This Row],[Column2]]=0,0,DailyData[[#This Row],[Date]])</f>
        <v>0</v>
      </c>
    </row>
    <row r="737" spans="3:14" x14ac:dyDescent="0.25">
      <c r="C737" s="1">
        <v>45916</v>
      </c>
      <c r="D737" s="2" t="s">
        <v>14</v>
      </c>
      <c r="E737">
        <v>0</v>
      </c>
      <c r="F737">
        <v>169.1</v>
      </c>
      <c r="G737">
        <v>169.13</v>
      </c>
      <c r="H737">
        <v>167.78</v>
      </c>
      <c r="I737">
        <v>168.33</v>
      </c>
      <c r="J737">
        <v>1390961</v>
      </c>
      <c r="K737">
        <v>0</v>
      </c>
      <c r="L737">
        <f t="shared" si="12"/>
        <v>0</v>
      </c>
      <c r="M737">
        <f>+IF(DailyData[[#This Row],[Column1]]&gt;0,DailyData[[#This Row],[Column1]]-L724,0)</f>
        <v>0</v>
      </c>
      <c r="N737" s="1">
        <f>+IF(DailyData[[#This Row],[Column2]]=0,0,DailyData[[#This Row],[Date]])</f>
        <v>0</v>
      </c>
    </row>
    <row r="738" spans="3:14" x14ac:dyDescent="0.25">
      <c r="C738" s="1">
        <v>45916</v>
      </c>
      <c r="D738" s="2" t="s">
        <v>15</v>
      </c>
      <c r="E738">
        <v>10000</v>
      </c>
      <c r="F738">
        <v>0.34</v>
      </c>
      <c r="G738">
        <v>0.35499999999999998</v>
      </c>
      <c r="H738">
        <v>0.32</v>
      </c>
      <c r="I738">
        <v>0.33</v>
      </c>
      <c r="J738">
        <v>1001857</v>
      </c>
      <c r="K738">
        <v>3300</v>
      </c>
      <c r="L738">
        <f t="shared" si="12"/>
        <v>0</v>
      </c>
      <c r="M738">
        <f>+IF(DailyData[[#This Row],[Column1]]&gt;0,DailyData[[#This Row],[Column1]]-L725,0)</f>
        <v>0</v>
      </c>
      <c r="N738" s="1">
        <f>+IF(DailyData[[#This Row],[Column2]]=0,0,DailyData[[#This Row],[Date]])</f>
        <v>0</v>
      </c>
    </row>
    <row r="739" spans="3:14" x14ac:dyDescent="0.25">
      <c r="C739" s="1">
        <v>45916</v>
      </c>
      <c r="D739" s="2" t="s">
        <v>16</v>
      </c>
      <c r="E739">
        <v>20000</v>
      </c>
      <c r="F739">
        <v>0.30499999999999999</v>
      </c>
      <c r="G739">
        <v>0.31</v>
      </c>
      <c r="H739">
        <v>0.3</v>
      </c>
      <c r="I739">
        <v>0.3</v>
      </c>
      <c r="J739">
        <v>326013</v>
      </c>
      <c r="K739">
        <v>6000</v>
      </c>
      <c r="L739">
        <f t="shared" si="12"/>
        <v>0</v>
      </c>
      <c r="M739">
        <f>+IF(DailyData[[#This Row],[Column1]]&gt;0,DailyData[[#This Row],[Column1]]-L726,0)</f>
        <v>0</v>
      </c>
      <c r="N739" s="1">
        <f>+IF(DailyData[[#This Row],[Column2]]=0,0,DailyData[[#This Row],[Date]])</f>
        <v>0</v>
      </c>
    </row>
    <row r="740" spans="3:14" x14ac:dyDescent="0.25">
      <c r="C740" s="1">
        <v>45916</v>
      </c>
      <c r="D740" s="2" t="s">
        <v>17</v>
      </c>
      <c r="E740">
        <v>700000</v>
      </c>
      <c r="F740">
        <v>2E-3</v>
      </c>
      <c r="G740">
        <v>2E-3</v>
      </c>
      <c r="H740">
        <v>2E-3</v>
      </c>
      <c r="I740">
        <v>2E-3</v>
      </c>
      <c r="J740">
        <v>1006650</v>
      </c>
      <c r="K740">
        <v>1750</v>
      </c>
      <c r="L740">
        <f t="shared" si="12"/>
        <v>0</v>
      </c>
      <c r="M740">
        <f>+IF(DailyData[[#This Row],[Column1]]&gt;0,DailyData[[#This Row],[Column1]]-L727,0)</f>
        <v>0</v>
      </c>
      <c r="N740" s="1">
        <f>+IF(DailyData[[#This Row],[Column2]]=0,0,DailyData[[#This Row],[Date]])</f>
        <v>0</v>
      </c>
    </row>
    <row r="741" spans="3:14" x14ac:dyDescent="0.25">
      <c r="C741" s="1">
        <v>45916</v>
      </c>
      <c r="D741" s="2" t="s">
        <v>18</v>
      </c>
      <c r="E741">
        <v>9412</v>
      </c>
      <c r="F741">
        <v>0.315</v>
      </c>
      <c r="G741">
        <v>0.315</v>
      </c>
      <c r="H741">
        <v>0.30499999999999999</v>
      </c>
      <c r="I741">
        <v>0.30499999999999999</v>
      </c>
      <c r="J741">
        <v>149859</v>
      </c>
      <c r="K741">
        <v>2870.66</v>
      </c>
      <c r="L741">
        <f t="shared" si="12"/>
        <v>0</v>
      </c>
      <c r="M741">
        <f>+IF(DailyData[[#This Row],[Column1]]&gt;0,DailyData[[#This Row],[Column1]]-L728,0)</f>
        <v>0</v>
      </c>
      <c r="N741" s="1">
        <f>+IF(DailyData[[#This Row],[Column2]]=0,0,DailyData[[#This Row],[Date]])</f>
        <v>0</v>
      </c>
    </row>
    <row r="742" spans="3:14" x14ac:dyDescent="0.25">
      <c r="C742" s="1">
        <v>45916</v>
      </c>
      <c r="D742" s="2" t="s">
        <v>19</v>
      </c>
      <c r="E742">
        <v>6000</v>
      </c>
      <c r="F742">
        <v>0.19</v>
      </c>
      <c r="G742">
        <v>0.2</v>
      </c>
      <c r="H742">
        <v>0.19</v>
      </c>
      <c r="I742">
        <v>0.19</v>
      </c>
      <c r="J742">
        <v>52218</v>
      </c>
      <c r="K742">
        <v>1140</v>
      </c>
      <c r="L742">
        <f t="shared" si="12"/>
        <v>0</v>
      </c>
      <c r="M742">
        <f>+IF(DailyData[[#This Row],[Column1]]&gt;0,DailyData[[#This Row],[Column1]]-L729,0)</f>
        <v>0</v>
      </c>
      <c r="N742" s="1">
        <f>+IF(DailyData[[#This Row],[Column2]]=0,0,DailyData[[#This Row],[Date]])</f>
        <v>0</v>
      </c>
    </row>
    <row r="743" spans="3:14" x14ac:dyDescent="0.25">
      <c r="C743" s="1">
        <v>45916</v>
      </c>
      <c r="D743" s="2" t="s">
        <v>20</v>
      </c>
      <c r="E743">
        <v>0</v>
      </c>
      <c r="F743">
        <v>38.82</v>
      </c>
      <c r="G743">
        <v>39.130000000000003</v>
      </c>
      <c r="H743">
        <v>38.659999999999997</v>
      </c>
      <c r="I743">
        <v>39.03</v>
      </c>
      <c r="J743">
        <v>3939168</v>
      </c>
      <c r="K743">
        <v>0</v>
      </c>
      <c r="L743">
        <f t="shared" si="12"/>
        <v>0</v>
      </c>
      <c r="M743">
        <f>+IF(DailyData[[#This Row],[Column1]]&gt;0,DailyData[[#This Row],[Column1]]-L730,0)</f>
        <v>0</v>
      </c>
      <c r="N743" s="1">
        <f>+IF(DailyData[[#This Row],[Column2]]=0,0,DailyData[[#This Row],[Date]])</f>
        <v>0</v>
      </c>
    </row>
    <row r="744" spans="3:14" x14ac:dyDescent="0.25">
      <c r="C744" s="1">
        <v>45916</v>
      </c>
      <c r="D744" s="2" t="s">
        <v>21</v>
      </c>
      <c r="E744">
        <v>1288</v>
      </c>
      <c r="F744">
        <v>24.07</v>
      </c>
      <c r="G744">
        <v>24.36</v>
      </c>
      <c r="H744">
        <v>24.06</v>
      </c>
      <c r="I744">
        <v>24.28</v>
      </c>
      <c r="J744">
        <v>3206340</v>
      </c>
      <c r="K744">
        <v>31272.639999999999</v>
      </c>
      <c r="L744">
        <f t="shared" si="12"/>
        <v>1025743.63</v>
      </c>
      <c r="M744">
        <f>+IF(DailyData[[#This Row],[Column1]]&gt;0,DailyData[[#This Row],[Column1]]-L731,0)</f>
        <v>1191.2700000000186</v>
      </c>
      <c r="N744" s="1">
        <f>+IF(DailyData[[#This Row],[Column2]]=0,0,DailyData[[#This Row],[Date]])</f>
        <v>45916</v>
      </c>
    </row>
    <row r="745" spans="3:14" x14ac:dyDescent="0.25">
      <c r="C745" s="1">
        <v>45917</v>
      </c>
      <c r="D745" s="2" t="s">
        <v>9</v>
      </c>
      <c r="E745">
        <v>153181</v>
      </c>
      <c r="F745">
        <v>1</v>
      </c>
      <c r="G745">
        <v>1.048</v>
      </c>
      <c r="H745">
        <v>1</v>
      </c>
      <c r="I745">
        <v>1.0249999999999999</v>
      </c>
      <c r="J745">
        <v>3302744</v>
      </c>
      <c r="K745">
        <v>157010.51999999999</v>
      </c>
      <c r="L745">
        <f t="shared" si="12"/>
        <v>0</v>
      </c>
      <c r="M745">
        <f>+IF(DailyData[[#This Row],[Column1]]&gt;0,DailyData[[#This Row],[Column1]]-L732,0)</f>
        <v>0</v>
      </c>
      <c r="N745" s="1">
        <f>+IF(DailyData[[#This Row],[Column2]]=0,0,DailyData[[#This Row],[Date]])</f>
        <v>0</v>
      </c>
    </row>
    <row r="746" spans="3:14" x14ac:dyDescent="0.25">
      <c r="C746" s="1">
        <v>45917</v>
      </c>
      <c r="D746" s="2" t="s">
        <v>10</v>
      </c>
      <c r="E746">
        <v>70000</v>
      </c>
      <c r="F746">
        <v>1.79</v>
      </c>
      <c r="G746">
        <v>1.8149999999999999</v>
      </c>
      <c r="H746">
        <v>1.7849999999999999</v>
      </c>
      <c r="I746">
        <v>1.79</v>
      </c>
      <c r="J746">
        <v>7298340</v>
      </c>
      <c r="K746">
        <v>125300</v>
      </c>
      <c r="L746">
        <f t="shared" si="12"/>
        <v>0</v>
      </c>
      <c r="M746">
        <f>+IF(DailyData[[#This Row],[Column1]]&gt;0,DailyData[[#This Row],[Column1]]-L733,0)</f>
        <v>0</v>
      </c>
      <c r="N746" s="1">
        <f>+IF(DailyData[[#This Row],[Column2]]=0,0,DailyData[[#This Row],[Date]])</f>
        <v>0</v>
      </c>
    </row>
    <row r="747" spans="3:14" x14ac:dyDescent="0.25">
      <c r="C747" s="1">
        <v>45917</v>
      </c>
      <c r="D747" s="2" t="s">
        <v>11</v>
      </c>
      <c r="E747">
        <v>57458</v>
      </c>
      <c r="F747">
        <v>0.54</v>
      </c>
      <c r="G747">
        <v>0.57499999999999996</v>
      </c>
      <c r="H747">
        <v>0.53</v>
      </c>
      <c r="I747">
        <v>0.56999999999999995</v>
      </c>
      <c r="J747">
        <v>951884</v>
      </c>
      <c r="K747">
        <v>32751.06</v>
      </c>
      <c r="L747">
        <f t="shared" si="12"/>
        <v>0</v>
      </c>
      <c r="M747">
        <f>+IF(DailyData[[#This Row],[Column1]]&gt;0,DailyData[[#This Row],[Column1]]-L734,0)</f>
        <v>0</v>
      </c>
      <c r="N747" s="1">
        <f>+IF(DailyData[[#This Row],[Column2]]=0,0,DailyData[[#This Row],[Date]])</f>
        <v>0</v>
      </c>
    </row>
    <row r="748" spans="3:14" x14ac:dyDescent="0.25">
      <c r="C748" s="1">
        <v>45917</v>
      </c>
      <c r="D748" s="2" t="s">
        <v>12</v>
      </c>
      <c r="E748">
        <v>16361</v>
      </c>
      <c r="F748">
        <v>40.42</v>
      </c>
      <c r="G748">
        <v>40.619999999999997</v>
      </c>
      <c r="H748">
        <v>40.134999999999998</v>
      </c>
      <c r="I748">
        <v>40.31</v>
      </c>
      <c r="J748">
        <v>7379291</v>
      </c>
      <c r="K748">
        <v>659511.93000000005</v>
      </c>
      <c r="L748">
        <f t="shared" si="12"/>
        <v>0</v>
      </c>
      <c r="M748">
        <f>+IF(DailyData[[#This Row],[Column1]]&gt;0,DailyData[[#This Row],[Column1]]-L735,0)</f>
        <v>0</v>
      </c>
      <c r="N748" s="1">
        <f>+IF(DailyData[[#This Row],[Column2]]=0,0,DailyData[[#This Row],[Date]])</f>
        <v>0</v>
      </c>
    </row>
    <row r="749" spans="3:14" x14ac:dyDescent="0.25">
      <c r="C749" s="1">
        <v>45917</v>
      </c>
      <c r="D749" s="2" t="s">
        <v>13</v>
      </c>
      <c r="E749">
        <v>44090</v>
      </c>
      <c r="F749">
        <v>1.0999999999999999E-2</v>
      </c>
      <c r="G749">
        <v>1.0999999999999999E-2</v>
      </c>
      <c r="H749">
        <v>0.01</v>
      </c>
      <c r="I749">
        <v>1.0999999999999999E-2</v>
      </c>
      <c r="J749">
        <v>806315</v>
      </c>
      <c r="K749">
        <v>484.99</v>
      </c>
      <c r="L749">
        <f t="shared" si="12"/>
        <v>0</v>
      </c>
      <c r="M749">
        <f>+IF(DailyData[[#This Row],[Column1]]&gt;0,DailyData[[#This Row],[Column1]]-L736,0)</f>
        <v>0</v>
      </c>
      <c r="N749" s="1">
        <f>+IF(DailyData[[#This Row],[Column2]]=0,0,DailyData[[#This Row],[Date]])</f>
        <v>0</v>
      </c>
    </row>
    <row r="750" spans="3:14" x14ac:dyDescent="0.25">
      <c r="C750" s="1">
        <v>45917</v>
      </c>
      <c r="D750" s="2" t="s">
        <v>14</v>
      </c>
      <c r="E750">
        <v>0</v>
      </c>
      <c r="F750">
        <v>168.42</v>
      </c>
      <c r="G750">
        <v>169.16499999999999</v>
      </c>
      <c r="H750">
        <v>167.89500000000001</v>
      </c>
      <c r="I750">
        <v>168.15</v>
      </c>
      <c r="J750">
        <v>1613610</v>
      </c>
      <c r="K750">
        <v>0</v>
      </c>
      <c r="L750">
        <f t="shared" si="12"/>
        <v>0</v>
      </c>
      <c r="M750">
        <f>+IF(DailyData[[#This Row],[Column1]]&gt;0,DailyData[[#This Row],[Column1]]-L737,0)</f>
        <v>0</v>
      </c>
      <c r="N750" s="1">
        <f>+IF(DailyData[[#This Row],[Column2]]=0,0,DailyData[[#This Row],[Date]])</f>
        <v>0</v>
      </c>
    </row>
    <row r="751" spans="3:14" x14ac:dyDescent="0.25">
      <c r="C751" s="1">
        <v>45917</v>
      </c>
      <c r="D751" s="2" t="s">
        <v>15</v>
      </c>
      <c r="E751">
        <v>10000</v>
      </c>
      <c r="F751">
        <v>0.33</v>
      </c>
      <c r="G751">
        <v>0.33</v>
      </c>
      <c r="H751">
        <v>0.30499999999999999</v>
      </c>
      <c r="I751">
        <v>0.31</v>
      </c>
      <c r="J751">
        <v>325119</v>
      </c>
      <c r="K751">
        <v>3100</v>
      </c>
      <c r="L751">
        <f t="shared" si="12"/>
        <v>0</v>
      </c>
      <c r="M751">
        <f>+IF(DailyData[[#This Row],[Column1]]&gt;0,DailyData[[#This Row],[Column1]]-L738,0)</f>
        <v>0</v>
      </c>
      <c r="N751" s="1">
        <f>+IF(DailyData[[#This Row],[Column2]]=0,0,DailyData[[#This Row],[Date]])</f>
        <v>0</v>
      </c>
    </row>
    <row r="752" spans="3:14" x14ac:dyDescent="0.25">
      <c r="C752" s="1">
        <v>45917</v>
      </c>
      <c r="D752" s="2" t="s">
        <v>16</v>
      </c>
      <c r="E752">
        <v>20000</v>
      </c>
      <c r="F752">
        <v>0.3</v>
      </c>
      <c r="G752">
        <v>0.3</v>
      </c>
      <c r="H752">
        <v>0.29199999999999998</v>
      </c>
      <c r="I752">
        <v>0.3</v>
      </c>
      <c r="J752">
        <v>237789</v>
      </c>
      <c r="K752">
        <v>6000</v>
      </c>
      <c r="L752">
        <f t="shared" si="12"/>
        <v>0</v>
      </c>
      <c r="M752">
        <f>+IF(DailyData[[#This Row],[Column1]]&gt;0,DailyData[[#This Row],[Column1]]-L739,0)</f>
        <v>0</v>
      </c>
      <c r="N752" s="1">
        <f>+IF(DailyData[[#This Row],[Column2]]=0,0,DailyData[[#This Row],[Date]])</f>
        <v>0</v>
      </c>
    </row>
    <row r="753" spans="3:14" x14ac:dyDescent="0.25">
      <c r="C753" s="1">
        <v>45917</v>
      </c>
      <c r="D753" s="2" t="s">
        <v>17</v>
      </c>
      <c r="E753">
        <v>700000</v>
      </c>
      <c r="F753">
        <v>2E-3</v>
      </c>
      <c r="G753">
        <v>3.0000000000000001E-3</v>
      </c>
      <c r="H753">
        <v>2E-3</v>
      </c>
      <c r="I753">
        <v>3.0000000000000001E-3</v>
      </c>
      <c r="J753">
        <v>325456</v>
      </c>
      <c r="K753">
        <v>2100</v>
      </c>
      <c r="L753">
        <f t="shared" si="12"/>
        <v>0</v>
      </c>
      <c r="M753">
        <f>+IF(DailyData[[#This Row],[Column1]]&gt;0,DailyData[[#This Row],[Column1]]-L740,0)</f>
        <v>0</v>
      </c>
      <c r="N753" s="1">
        <f>+IF(DailyData[[#This Row],[Column2]]=0,0,DailyData[[#This Row],[Date]])</f>
        <v>0</v>
      </c>
    </row>
    <row r="754" spans="3:14" x14ac:dyDescent="0.25">
      <c r="C754" s="1">
        <v>45917</v>
      </c>
      <c r="D754" s="2" t="s">
        <v>18</v>
      </c>
      <c r="E754">
        <v>9412</v>
      </c>
      <c r="F754">
        <v>0.30499999999999999</v>
      </c>
      <c r="G754">
        <v>0.32</v>
      </c>
      <c r="H754">
        <v>0.30499999999999999</v>
      </c>
      <c r="I754">
        <v>0.31</v>
      </c>
      <c r="J754">
        <v>161320</v>
      </c>
      <c r="K754">
        <v>2917.72</v>
      </c>
      <c r="L754">
        <f t="shared" si="12"/>
        <v>0</v>
      </c>
      <c r="M754">
        <f>+IF(DailyData[[#This Row],[Column1]]&gt;0,DailyData[[#This Row],[Column1]]-L741,0)</f>
        <v>0</v>
      </c>
      <c r="N754" s="1">
        <f>+IF(DailyData[[#This Row],[Column2]]=0,0,DailyData[[#This Row],[Date]])</f>
        <v>0</v>
      </c>
    </row>
    <row r="755" spans="3:14" x14ac:dyDescent="0.25">
      <c r="C755" s="1">
        <v>45917</v>
      </c>
      <c r="D755" s="2" t="s">
        <v>19</v>
      </c>
      <c r="E755">
        <v>6000</v>
      </c>
      <c r="F755">
        <v>0.19500000000000001</v>
      </c>
      <c r="G755">
        <v>0.19500000000000001</v>
      </c>
      <c r="H755">
        <v>0.17499999999999999</v>
      </c>
      <c r="I755">
        <v>0.18</v>
      </c>
      <c r="J755">
        <v>45010</v>
      </c>
      <c r="K755">
        <v>1080</v>
      </c>
      <c r="L755">
        <f t="shared" si="12"/>
        <v>0</v>
      </c>
      <c r="M755">
        <f>+IF(DailyData[[#This Row],[Column1]]&gt;0,DailyData[[#This Row],[Column1]]-L742,0)</f>
        <v>0</v>
      </c>
      <c r="N755" s="1">
        <f>+IF(DailyData[[#This Row],[Column2]]=0,0,DailyData[[#This Row],[Date]])</f>
        <v>0</v>
      </c>
    </row>
    <row r="756" spans="3:14" x14ac:dyDescent="0.25">
      <c r="C756" s="1">
        <v>45917</v>
      </c>
      <c r="D756" s="2" t="s">
        <v>20</v>
      </c>
      <c r="E756">
        <v>0</v>
      </c>
      <c r="F756">
        <v>38.799999999999997</v>
      </c>
      <c r="G756">
        <v>38.96</v>
      </c>
      <c r="H756">
        <v>38.64</v>
      </c>
      <c r="I756">
        <v>38.64</v>
      </c>
      <c r="J756">
        <v>4435654</v>
      </c>
      <c r="K756">
        <v>0</v>
      </c>
      <c r="L756">
        <f t="shared" si="12"/>
        <v>0</v>
      </c>
      <c r="M756">
        <f>+IF(DailyData[[#This Row],[Column1]]&gt;0,DailyData[[#This Row],[Column1]]-L743,0)</f>
        <v>0</v>
      </c>
      <c r="N756" s="1">
        <f>+IF(DailyData[[#This Row],[Column2]]=0,0,DailyData[[#This Row],[Date]])</f>
        <v>0</v>
      </c>
    </row>
    <row r="757" spans="3:14" x14ac:dyDescent="0.25">
      <c r="C757" s="1">
        <v>45917</v>
      </c>
      <c r="D757" s="2" t="s">
        <v>21</v>
      </c>
      <c r="E757">
        <v>1288</v>
      </c>
      <c r="F757">
        <v>24.38</v>
      </c>
      <c r="G757">
        <v>24.62</v>
      </c>
      <c r="H757">
        <v>24.36</v>
      </c>
      <c r="I757">
        <v>24.6</v>
      </c>
      <c r="J757">
        <v>3920013</v>
      </c>
      <c r="K757">
        <v>31684.799999999999</v>
      </c>
      <c r="L757">
        <f t="shared" si="12"/>
        <v>1021941.02</v>
      </c>
      <c r="M757">
        <f>+IF(DailyData[[#This Row],[Column1]]&gt;0,DailyData[[#This Row],[Column1]]-L744,0)</f>
        <v>-3802.609999999986</v>
      </c>
      <c r="N757" s="1">
        <f>+IF(DailyData[[#This Row],[Column2]]=0,0,DailyData[[#This Row],[Date]])</f>
        <v>45917</v>
      </c>
    </row>
    <row r="758" spans="3:14" x14ac:dyDescent="0.25">
      <c r="C758" s="1">
        <v>45918</v>
      </c>
      <c r="D758" s="2" t="s">
        <v>9</v>
      </c>
      <c r="E758">
        <v>153181</v>
      </c>
      <c r="F758">
        <v>1.0149999999999999</v>
      </c>
      <c r="G758">
        <v>1.0249999999999999</v>
      </c>
      <c r="H758">
        <v>1</v>
      </c>
      <c r="I758">
        <v>1.0249999999999999</v>
      </c>
      <c r="J758">
        <v>3706434</v>
      </c>
      <c r="K758">
        <v>157010.51999999999</v>
      </c>
      <c r="L758">
        <f t="shared" si="12"/>
        <v>0</v>
      </c>
      <c r="M758">
        <f>+IF(DailyData[[#This Row],[Column1]]&gt;0,DailyData[[#This Row],[Column1]]-L745,0)</f>
        <v>0</v>
      </c>
      <c r="N758" s="1">
        <f>+IF(DailyData[[#This Row],[Column2]]=0,0,DailyData[[#This Row],[Date]])</f>
        <v>0</v>
      </c>
    </row>
    <row r="759" spans="3:14" x14ac:dyDescent="0.25">
      <c r="C759" s="1">
        <v>45918</v>
      </c>
      <c r="D759" s="2" t="s">
        <v>10</v>
      </c>
      <c r="E759">
        <v>70000</v>
      </c>
      <c r="F759">
        <v>1.79</v>
      </c>
      <c r="G759">
        <v>1.8</v>
      </c>
      <c r="H759">
        <v>1.73</v>
      </c>
      <c r="I759">
        <v>1.74</v>
      </c>
      <c r="J759">
        <v>6683520</v>
      </c>
      <c r="K759">
        <v>121800</v>
      </c>
      <c r="L759">
        <f t="shared" si="12"/>
        <v>0</v>
      </c>
      <c r="M759">
        <f>+IF(DailyData[[#This Row],[Column1]]&gt;0,DailyData[[#This Row],[Column1]]-L746,0)</f>
        <v>0</v>
      </c>
      <c r="N759" s="1">
        <f>+IF(DailyData[[#This Row],[Column2]]=0,0,DailyData[[#This Row],[Date]])</f>
        <v>0</v>
      </c>
    </row>
    <row r="760" spans="3:14" x14ac:dyDescent="0.25">
      <c r="C760" s="1">
        <v>45918</v>
      </c>
      <c r="D760" s="2" t="s">
        <v>11</v>
      </c>
      <c r="E760">
        <v>57458</v>
      </c>
      <c r="F760">
        <v>0.57999999999999996</v>
      </c>
      <c r="G760">
        <v>0.59</v>
      </c>
      <c r="H760">
        <v>0.54500000000000004</v>
      </c>
      <c r="I760">
        <v>0.55000000000000004</v>
      </c>
      <c r="J760">
        <v>334989</v>
      </c>
      <c r="K760">
        <v>31601.9</v>
      </c>
      <c r="L760">
        <f t="shared" si="12"/>
        <v>0</v>
      </c>
      <c r="M760">
        <f>+IF(DailyData[[#This Row],[Column1]]&gt;0,DailyData[[#This Row],[Column1]]-L747,0)</f>
        <v>0</v>
      </c>
      <c r="N760" s="1">
        <f>+IF(DailyData[[#This Row],[Column2]]=0,0,DailyData[[#This Row],[Date]])</f>
        <v>0</v>
      </c>
    </row>
    <row r="761" spans="3:14" x14ac:dyDescent="0.25">
      <c r="C761" s="1">
        <v>45918</v>
      </c>
      <c r="D761" s="2" t="s">
        <v>12</v>
      </c>
      <c r="E761">
        <v>16361</v>
      </c>
      <c r="F761">
        <v>40</v>
      </c>
      <c r="G761">
        <v>40.19</v>
      </c>
      <c r="H761">
        <v>39.880000000000003</v>
      </c>
      <c r="I761">
        <v>39.97</v>
      </c>
      <c r="J761">
        <v>7823281</v>
      </c>
      <c r="K761">
        <v>653949.18999999994</v>
      </c>
      <c r="L761">
        <f t="shared" si="12"/>
        <v>0</v>
      </c>
      <c r="M761">
        <f>+IF(DailyData[[#This Row],[Column1]]&gt;0,DailyData[[#This Row],[Column1]]-L748,0)</f>
        <v>0</v>
      </c>
      <c r="N761" s="1">
        <f>+IF(DailyData[[#This Row],[Column2]]=0,0,DailyData[[#This Row],[Date]])</f>
        <v>0</v>
      </c>
    </row>
    <row r="762" spans="3:14" x14ac:dyDescent="0.25">
      <c r="C762" s="1">
        <v>45918</v>
      </c>
      <c r="D762" s="2" t="s">
        <v>13</v>
      </c>
      <c r="E762">
        <v>44090</v>
      </c>
      <c r="F762">
        <v>1.2E-2</v>
      </c>
      <c r="G762">
        <v>1.2999999999999999E-2</v>
      </c>
      <c r="H762">
        <v>1.0999999999999999E-2</v>
      </c>
      <c r="I762">
        <v>1.0999999999999999E-2</v>
      </c>
      <c r="J762">
        <v>4519952</v>
      </c>
      <c r="K762">
        <v>484.99</v>
      </c>
      <c r="L762">
        <f t="shared" si="12"/>
        <v>0</v>
      </c>
      <c r="M762">
        <f>+IF(DailyData[[#This Row],[Column1]]&gt;0,DailyData[[#This Row],[Column1]]-L749,0)</f>
        <v>0</v>
      </c>
      <c r="N762" s="1">
        <f>+IF(DailyData[[#This Row],[Column2]]=0,0,DailyData[[#This Row],[Date]])</f>
        <v>0</v>
      </c>
    </row>
    <row r="763" spans="3:14" x14ac:dyDescent="0.25">
      <c r="C763" s="1">
        <v>45918</v>
      </c>
      <c r="D763" s="2" t="s">
        <v>14</v>
      </c>
      <c r="E763">
        <v>0</v>
      </c>
      <c r="F763">
        <v>167.7</v>
      </c>
      <c r="G763">
        <v>168.35</v>
      </c>
      <c r="H763">
        <v>164.33</v>
      </c>
      <c r="I763">
        <v>164.33</v>
      </c>
      <c r="J763">
        <v>2379309</v>
      </c>
      <c r="K763">
        <v>0</v>
      </c>
      <c r="L763">
        <f t="shared" si="12"/>
        <v>0</v>
      </c>
      <c r="M763">
        <f>+IF(DailyData[[#This Row],[Column1]]&gt;0,DailyData[[#This Row],[Column1]]-L750,0)</f>
        <v>0</v>
      </c>
      <c r="N763" s="1">
        <f>+IF(DailyData[[#This Row],[Column2]]=0,0,DailyData[[#This Row],[Date]])</f>
        <v>0</v>
      </c>
    </row>
    <row r="764" spans="3:14" x14ac:dyDescent="0.25">
      <c r="C764" s="1">
        <v>45918</v>
      </c>
      <c r="D764" s="2" t="s">
        <v>15</v>
      </c>
      <c r="E764">
        <v>10000</v>
      </c>
      <c r="F764">
        <v>0.32</v>
      </c>
      <c r="G764">
        <v>0.32</v>
      </c>
      <c r="H764">
        <v>0.31</v>
      </c>
      <c r="I764">
        <v>0.31</v>
      </c>
      <c r="J764">
        <v>250904</v>
      </c>
      <c r="K764">
        <v>3100</v>
      </c>
      <c r="L764">
        <f t="shared" si="12"/>
        <v>0</v>
      </c>
      <c r="M764">
        <f>+IF(DailyData[[#This Row],[Column1]]&gt;0,DailyData[[#This Row],[Column1]]-L751,0)</f>
        <v>0</v>
      </c>
      <c r="N764" s="1">
        <f>+IF(DailyData[[#This Row],[Column2]]=0,0,DailyData[[#This Row],[Date]])</f>
        <v>0</v>
      </c>
    </row>
    <row r="765" spans="3:14" x14ac:dyDescent="0.25">
      <c r="C765" s="1">
        <v>45918</v>
      </c>
      <c r="D765" s="2" t="s">
        <v>16</v>
      </c>
      <c r="E765">
        <v>20000</v>
      </c>
      <c r="F765">
        <v>0.29499999999999998</v>
      </c>
      <c r="G765">
        <v>0.29499999999999998</v>
      </c>
      <c r="H765">
        <v>0.28000000000000003</v>
      </c>
      <c r="I765">
        <v>0.28000000000000003</v>
      </c>
      <c r="J765">
        <v>588626</v>
      </c>
      <c r="K765">
        <v>5600</v>
      </c>
      <c r="L765">
        <f t="shared" si="12"/>
        <v>0</v>
      </c>
      <c r="M765">
        <f>+IF(DailyData[[#This Row],[Column1]]&gt;0,DailyData[[#This Row],[Column1]]-L752,0)</f>
        <v>0</v>
      </c>
      <c r="N765" s="1">
        <f>+IF(DailyData[[#This Row],[Column2]]=0,0,DailyData[[#This Row],[Date]])</f>
        <v>0</v>
      </c>
    </row>
    <row r="766" spans="3:14" x14ac:dyDescent="0.25">
      <c r="C766" s="1">
        <v>45918</v>
      </c>
      <c r="D766" s="2" t="s">
        <v>17</v>
      </c>
      <c r="E766">
        <v>700000</v>
      </c>
      <c r="F766">
        <v>3.0000000000000001E-3</v>
      </c>
      <c r="G766">
        <v>3.0000000000000001E-3</v>
      </c>
      <c r="H766">
        <v>2E-3</v>
      </c>
      <c r="I766">
        <v>2E-3</v>
      </c>
      <c r="J766">
        <v>1515005</v>
      </c>
      <c r="K766">
        <v>1400</v>
      </c>
      <c r="L766">
        <f t="shared" si="12"/>
        <v>0</v>
      </c>
      <c r="M766">
        <f>+IF(DailyData[[#This Row],[Column1]]&gt;0,DailyData[[#This Row],[Column1]]-L753,0)</f>
        <v>0</v>
      </c>
      <c r="N766" s="1">
        <f>+IF(DailyData[[#This Row],[Column2]]=0,0,DailyData[[#This Row],[Date]])</f>
        <v>0</v>
      </c>
    </row>
    <row r="767" spans="3:14" x14ac:dyDescent="0.25">
      <c r="C767" s="1">
        <v>45918</v>
      </c>
      <c r="D767" s="2" t="s">
        <v>18</v>
      </c>
      <c r="E767">
        <v>9412</v>
      </c>
      <c r="F767">
        <v>0.31</v>
      </c>
      <c r="G767">
        <v>0.32</v>
      </c>
      <c r="H767">
        <v>0.30499999999999999</v>
      </c>
      <c r="I767">
        <v>0.31</v>
      </c>
      <c r="J767">
        <v>240397</v>
      </c>
      <c r="K767">
        <v>2917.72</v>
      </c>
      <c r="L767">
        <f t="shared" si="12"/>
        <v>0</v>
      </c>
      <c r="M767">
        <f>+IF(DailyData[[#This Row],[Column1]]&gt;0,DailyData[[#This Row],[Column1]]-L754,0)</f>
        <v>0</v>
      </c>
      <c r="N767" s="1">
        <f>+IF(DailyData[[#This Row],[Column2]]=0,0,DailyData[[#This Row],[Date]])</f>
        <v>0</v>
      </c>
    </row>
    <row r="768" spans="3:14" x14ac:dyDescent="0.25">
      <c r="C768" s="1">
        <v>45918</v>
      </c>
      <c r="D768" s="2" t="s">
        <v>19</v>
      </c>
      <c r="E768">
        <v>6000</v>
      </c>
      <c r="F768">
        <v>0.17499999999999999</v>
      </c>
      <c r="G768">
        <v>0.18</v>
      </c>
      <c r="H768">
        <v>0.17</v>
      </c>
      <c r="I768">
        <v>0.17499999999999999</v>
      </c>
      <c r="J768">
        <v>348853</v>
      </c>
      <c r="K768">
        <v>1050</v>
      </c>
      <c r="L768">
        <f t="shared" si="12"/>
        <v>0</v>
      </c>
      <c r="M768">
        <f>+IF(DailyData[[#This Row],[Column1]]&gt;0,DailyData[[#This Row],[Column1]]-L755,0)</f>
        <v>0</v>
      </c>
      <c r="N768" s="1">
        <f>+IF(DailyData[[#This Row],[Column2]]=0,0,DailyData[[#This Row],[Date]])</f>
        <v>0</v>
      </c>
    </row>
    <row r="769" spans="3:14" x14ac:dyDescent="0.25">
      <c r="C769" s="1">
        <v>45918</v>
      </c>
      <c r="D769" s="2" t="s">
        <v>20</v>
      </c>
      <c r="E769">
        <v>0</v>
      </c>
      <c r="F769">
        <v>39</v>
      </c>
      <c r="G769">
        <v>39.049999999999997</v>
      </c>
      <c r="H769">
        <v>38.6</v>
      </c>
      <c r="I769">
        <v>38.68</v>
      </c>
      <c r="J769">
        <v>6316900</v>
      </c>
      <c r="K769">
        <v>0</v>
      </c>
      <c r="L769">
        <f t="shared" si="12"/>
        <v>0</v>
      </c>
      <c r="M769">
        <f>+IF(DailyData[[#This Row],[Column1]]&gt;0,DailyData[[#This Row],[Column1]]-L756,0)</f>
        <v>0</v>
      </c>
      <c r="N769" s="1">
        <f>+IF(DailyData[[#This Row],[Column2]]=0,0,DailyData[[#This Row],[Date]])</f>
        <v>0</v>
      </c>
    </row>
    <row r="770" spans="3:14" x14ac:dyDescent="0.25">
      <c r="C770" s="1">
        <v>45918</v>
      </c>
      <c r="D770" s="2" t="s">
        <v>21</v>
      </c>
      <c r="E770">
        <v>1288</v>
      </c>
      <c r="F770">
        <v>23.76</v>
      </c>
      <c r="G770">
        <v>23.81</v>
      </c>
      <c r="H770">
        <v>23.04</v>
      </c>
      <c r="I770">
        <v>23.06</v>
      </c>
      <c r="J770">
        <v>12622634</v>
      </c>
      <c r="K770">
        <v>29701.279999999999</v>
      </c>
      <c r="L770">
        <f t="shared" si="12"/>
        <v>1008615.6</v>
      </c>
      <c r="M770">
        <f>+IF(DailyData[[#This Row],[Column1]]&gt;0,DailyData[[#This Row],[Column1]]-L757,0)</f>
        <v>-13325.420000000042</v>
      </c>
      <c r="N770" s="1">
        <f>+IF(DailyData[[#This Row],[Column2]]=0,0,DailyData[[#This Row],[Date]])</f>
        <v>45918</v>
      </c>
    </row>
    <row r="771" spans="3:14" x14ac:dyDescent="0.25">
      <c r="C771" s="1">
        <v>45919</v>
      </c>
      <c r="D771" s="2" t="s">
        <v>9</v>
      </c>
      <c r="E771">
        <v>153181</v>
      </c>
      <c r="F771">
        <v>1.01</v>
      </c>
      <c r="G771">
        <v>1.06</v>
      </c>
      <c r="H771">
        <v>1</v>
      </c>
      <c r="I771">
        <v>1.06</v>
      </c>
      <c r="J771">
        <v>61832870</v>
      </c>
      <c r="K771">
        <v>162371.85</v>
      </c>
      <c r="L771">
        <f t="shared" si="12"/>
        <v>0</v>
      </c>
      <c r="M771">
        <f>+IF(DailyData[[#This Row],[Column1]]&gt;0,DailyData[[#This Row],[Column1]]-L758,0)</f>
        <v>0</v>
      </c>
      <c r="N771" s="1">
        <f>+IF(DailyData[[#This Row],[Column2]]=0,0,DailyData[[#This Row],[Date]])</f>
        <v>0</v>
      </c>
    </row>
    <row r="772" spans="3:14" x14ac:dyDescent="0.25">
      <c r="C772" s="1">
        <v>45919</v>
      </c>
      <c r="D772" s="2" t="s">
        <v>10</v>
      </c>
      <c r="E772">
        <v>70000</v>
      </c>
      <c r="F772">
        <v>1.76</v>
      </c>
      <c r="G772">
        <v>1.7649999999999999</v>
      </c>
      <c r="H772">
        <v>1.7050000000000001</v>
      </c>
      <c r="I772">
        <v>1.7050000000000001</v>
      </c>
      <c r="J772">
        <v>18857551</v>
      </c>
      <c r="K772">
        <v>119350</v>
      </c>
      <c r="L772">
        <f t="shared" si="12"/>
        <v>0</v>
      </c>
      <c r="M772">
        <f>+IF(DailyData[[#This Row],[Column1]]&gt;0,DailyData[[#This Row],[Column1]]-L759,0)</f>
        <v>0</v>
      </c>
      <c r="N772" s="1">
        <f>+IF(DailyData[[#This Row],[Column2]]=0,0,DailyData[[#This Row],[Date]])</f>
        <v>0</v>
      </c>
    </row>
    <row r="773" spans="3:14" x14ac:dyDescent="0.25">
      <c r="C773" s="1">
        <v>45919</v>
      </c>
      <c r="D773" s="2" t="s">
        <v>11</v>
      </c>
      <c r="E773">
        <v>57458</v>
      </c>
      <c r="F773">
        <v>0.56000000000000005</v>
      </c>
      <c r="G773">
        <v>0.56499999999999995</v>
      </c>
      <c r="H773">
        <v>0.54500000000000004</v>
      </c>
      <c r="I773">
        <v>0.55000000000000004</v>
      </c>
      <c r="J773">
        <v>206464</v>
      </c>
      <c r="K773">
        <v>31601.9</v>
      </c>
      <c r="L773">
        <f t="shared" si="12"/>
        <v>0</v>
      </c>
      <c r="M773">
        <f>+IF(DailyData[[#This Row],[Column1]]&gt;0,DailyData[[#This Row],[Column1]]-L760,0)</f>
        <v>0</v>
      </c>
      <c r="N773" s="1">
        <f>+IF(DailyData[[#This Row],[Column2]]=0,0,DailyData[[#This Row],[Date]])</f>
        <v>0</v>
      </c>
    </row>
    <row r="774" spans="3:14" x14ac:dyDescent="0.25">
      <c r="C774" s="1">
        <v>45919</v>
      </c>
      <c r="D774" s="2" t="s">
        <v>12</v>
      </c>
      <c r="E774">
        <v>16361</v>
      </c>
      <c r="F774">
        <v>39.770000000000003</v>
      </c>
      <c r="G774">
        <v>40.200000000000003</v>
      </c>
      <c r="H774">
        <v>39.299999999999997</v>
      </c>
      <c r="I774">
        <v>39.64</v>
      </c>
      <c r="J774">
        <v>22847291</v>
      </c>
      <c r="K774">
        <v>648550.03</v>
      </c>
      <c r="L774">
        <f t="shared" si="12"/>
        <v>0</v>
      </c>
      <c r="M774">
        <f>+IF(DailyData[[#This Row],[Column1]]&gt;0,DailyData[[#This Row],[Column1]]-L761,0)</f>
        <v>0</v>
      </c>
      <c r="N774" s="1">
        <f>+IF(DailyData[[#This Row],[Column2]]=0,0,DailyData[[#This Row],[Date]])</f>
        <v>0</v>
      </c>
    </row>
    <row r="775" spans="3:14" x14ac:dyDescent="0.25">
      <c r="C775" s="1">
        <v>45919</v>
      </c>
      <c r="D775" s="2" t="s">
        <v>13</v>
      </c>
      <c r="E775">
        <v>44090</v>
      </c>
      <c r="F775">
        <v>1.0999999999999999E-2</v>
      </c>
      <c r="G775">
        <v>1.2E-2</v>
      </c>
      <c r="H775">
        <v>1.0999999999999999E-2</v>
      </c>
      <c r="I775">
        <v>1.0999999999999999E-2</v>
      </c>
      <c r="J775">
        <v>667375</v>
      </c>
      <c r="K775">
        <v>484.99</v>
      </c>
      <c r="L775">
        <f t="shared" si="12"/>
        <v>0</v>
      </c>
      <c r="M775">
        <f>+IF(DailyData[[#This Row],[Column1]]&gt;0,DailyData[[#This Row],[Column1]]-L762,0)</f>
        <v>0</v>
      </c>
      <c r="N775" s="1">
        <f>+IF(DailyData[[#This Row],[Column2]]=0,0,DailyData[[#This Row],[Date]])</f>
        <v>0</v>
      </c>
    </row>
    <row r="776" spans="3:14" x14ac:dyDescent="0.25">
      <c r="C776" s="1">
        <v>45919</v>
      </c>
      <c r="D776" s="2" t="s">
        <v>14</v>
      </c>
      <c r="E776">
        <v>0</v>
      </c>
      <c r="F776">
        <v>166.52</v>
      </c>
      <c r="G776">
        <v>166.95</v>
      </c>
      <c r="H776">
        <v>165.43</v>
      </c>
      <c r="I776">
        <v>166.17</v>
      </c>
      <c r="J776">
        <v>4607592</v>
      </c>
      <c r="K776">
        <v>0</v>
      </c>
      <c r="L776">
        <f t="shared" si="12"/>
        <v>0</v>
      </c>
      <c r="M776">
        <f>+IF(DailyData[[#This Row],[Column1]]&gt;0,DailyData[[#This Row],[Column1]]-L763,0)</f>
        <v>0</v>
      </c>
      <c r="N776" s="1">
        <f>+IF(DailyData[[#This Row],[Column2]]=0,0,DailyData[[#This Row],[Date]])</f>
        <v>0</v>
      </c>
    </row>
    <row r="777" spans="3:14" x14ac:dyDescent="0.25">
      <c r="C777" s="1">
        <v>45919</v>
      </c>
      <c r="D777" s="2" t="s">
        <v>15</v>
      </c>
      <c r="E777">
        <v>10000</v>
      </c>
      <c r="F777">
        <v>0.315</v>
      </c>
      <c r="G777">
        <v>0.32500000000000001</v>
      </c>
      <c r="H777">
        <v>0.31</v>
      </c>
      <c r="I777">
        <v>0.32</v>
      </c>
      <c r="J777">
        <v>20313</v>
      </c>
      <c r="K777">
        <v>3200</v>
      </c>
      <c r="L777">
        <f t="shared" si="12"/>
        <v>0</v>
      </c>
      <c r="M777">
        <f>+IF(DailyData[[#This Row],[Column1]]&gt;0,DailyData[[#This Row],[Column1]]-L764,0)</f>
        <v>0</v>
      </c>
      <c r="N777" s="1">
        <f>+IF(DailyData[[#This Row],[Column2]]=0,0,DailyData[[#This Row],[Date]])</f>
        <v>0</v>
      </c>
    </row>
    <row r="778" spans="3:14" x14ac:dyDescent="0.25">
      <c r="C778" s="1">
        <v>45919</v>
      </c>
      <c r="D778" s="2" t="s">
        <v>16</v>
      </c>
      <c r="E778">
        <v>20000</v>
      </c>
      <c r="F778">
        <v>0.28000000000000003</v>
      </c>
      <c r="G778">
        <v>0.28499999999999998</v>
      </c>
      <c r="H778">
        <v>0.26800000000000002</v>
      </c>
      <c r="I778">
        <v>0.27</v>
      </c>
      <c r="J778">
        <v>738650</v>
      </c>
      <c r="K778">
        <v>5400</v>
      </c>
      <c r="L778">
        <f t="shared" si="12"/>
        <v>0</v>
      </c>
      <c r="M778">
        <f>+IF(DailyData[[#This Row],[Column1]]&gt;0,DailyData[[#This Row],[Column1]]-L765,0)</f>
        <v>0</v>
      </c>
      <c r="N778" s="1">
        <f>+IF(DailyData[[#This Row],[Column2]]=0,0,DailyData[[#This Row],[Date]])</f>
        <v>0</v>
      </c>
    </row>
    <row r="779" spans="3:14" x14ac:dyDescent="0.25">
      <c r="C779" s="1">
        <v>45919</v>
      </c>
      <c r="D779" s="2" t="s">
        <v>17</v>
      </c>
      <c r="E779">
        <v>700000</v>
      </c>
      <c r="F779">
        <v>2E-3</v>
      </c>
      <c r="G779">
        <v>2E-3</v>
      </c>
      <c r="H779">
        <v>2E-3</v>
      </c>
      <c r="I779">
        <v>2E-3</v>
      </c>
      <c r="J779">
        <v>2094030</v>
      </c>
      <c r="K779">
        <v>1750</v>
      </c>
      <c r="L779">
        <f t="shared" si="12"/>
        <v>0</v>
      </c>
      <c r="M779">
        <f>+IF(DailyData[[#This Row],[Column1]]&gt;0,DailyData[[#This Row],[Column1]]-L766,0)</f>
        <v>0</v>
      </c>
      <c r="N779" s="1">
        <f>+IF(DailyData[[#This Row],[Column2]]=0,0,DailyData[[#This Row],[Date]])</f>
        <v>0</v>
      </c>
    </row>
    <row r="780" spans="3:14" x14ac:dyDescent="0.25">
      <c r="C780" s="1">
        <v>45919</v>
      </c>
      <c r="D780" s="2" t="s">
        <v>18</v>
      </c>
      <c r="E780">
        <v>9412</v>
      </c>
      <c r="F780">
        <v>0.32</v>
      </c>
      <c r="G780">
        <v>0.32</v>
      </c>
      <c r="H780">
        <v>0.315</v>
      </c>
      <c r="I780">
        <v>0.32</v>
      </c>
      <c r="J780">
        <v>154248</v>
      </c>
      <c r="K780">
        <v>3011.84</v>
      </c>
      <c r="L780">
        <f t="shared" si="12"/>
        <v>0</v>
      </c>
      <c r="M780">
        <f>+IF(DailyData[[#This Row],[Column1]]&gt;0,DailyData[[#This Row],[Column1]]-L767,0)</f>
        <v>0</v>
      </c>
      <c r="N780" s="1">
        <f>+IF(DailyData[[#This Row],[Column2]]=0,0,DailyData[[#This Row],[Date]])</f>
        <v>0</v>
      </c>
    </row>
    <row r="781" spans="3:14" x14ac:dyDescent="0.25">
      <c r="C781" s="1">
        <v>45919</v>
      </c>
      <c r="D781" s="2" t="s">
        <v>19</v>
      </c>
      <c r="E781">
        <v>6000</v>
      </c>
      <c r="F781">
        <v>0.17499999999999999</v>
      </c>
      <c r="G781">
        <v>0.19500000000000001</v>
      </c>
      <c r="H781">
        <v>0.17499999999999999</v>
      </c>
      <c r="I781">
        <v>0.19</v>
      </c>
      <c r="J781">
        <v>36899</v>
      </c>
      <c r="K781">
        <v>1140</v>
      </c>
      <c r="L781">
        <f t="shared" si="12"/>
        <v>0</v>
      </c>
      <c r="M781">
        <f>+IF(DailyData[[#This Row],[Column1]]&gt;0,DailyData[[#This Row],[Column1]]-L768,0)</f>
        <v>0</v>
      </c>
      <c r="N781" s="1">
        <f>+IF(DailyData[[#This Row],[Column2]]=0,0,DailyData[[#This Row],[Date]])</f>
        <v>0</v>
      </c>
    </row>
    <row r="782" spans="3:14" x14ac:dyDescent="0.25">
      <c r="C782" s="1">
        <v>45919</v>
      </c>
      <c r="D782" s="2" t="s">
        <v>20</v>
      </c>
      <c r="E782">
        <v>0</v>
      </c>
      <c r="F782">
        <v>38.520000000000003</v>
      </c>
      <c r="G782">
        <v>38.68</v>
      </c>
      <c r="H782">
        <v>38.229999999999997</v>
      </c>
      <c r="I782">
        <v>38.549999999999997</v>
      </c>
      <c r="J782">
        <v>16177547</v>
      </c>
      <c r="K782">
        <v>0</v>
      </c>
      <c r="L782">
        <f t="shared" si="12"/>
        <v>0</v>
      </c>
      <c r="M782">
        <f>+IF(DailyData[[#This Row],[Column1]]&gt;0,DailyData[[#This Row],[Column1]]-L769,0)</f>
        <v>0</v>
      </c>
      <c r="N782" s="1">
        <f>+IF(DailyData[[#This Row],[Column2]]=0,0,DailyData[[#This Row],[Date]])</f>
        <v>0</v>
      </c>
    </row>
    <row r="783" spans="3:14" x14ac:dyDescent="0.25">
      <c r="C783" s="1">
        <v>45919</v>
      </c>
      <c r="D783" s="2" t="s">
        <v>21</v>
      </c>
      <c r="E783">
        <v>1288</v>
      </c>
      <c r="F783">
        <v>23.24</v>
      </c>
      <c r="G783">
        <v>23.34</v>
      </c>
      <c r="H783">
        <v>23.03</v>
      </c>
      <c r="I783">
        <v>23.03</v>
      </c>
      <c r="J783">
        <v>11677481</v>
      </c>
      <c r="K783">
        <v>29662.639999999999</v>
      </c>
      <c r="L783">
        <f t="shared" si="12"/>
        <v>1006523.25</v>
      </c>
      <c r="M783">
        <f>+IF(DailyData[[#This Row],[Column1]]&gt;0,DailyData[[#This Row],[Column1]]-L770,0)</f>
        <v>-2092.3499999999767</v>
      </c>
      <c r="N783" s="1">
        <f>+IF(DailyData[[#This Row],[Column2]]=0,0,DailyData[[#This Row],[Date]])</f>
        <v>45919</v>
      </c>
    </row>
    <row r="784" spans="3:14" x14ac:dyDescent="0.25">
      <c r="C784" s="1">
        <v>45922</v>
      </c>
      <c r="D784" s="2" t="s">
        <v>9</v>
      </c>
      <c r="E784">
        <v>153181</v>
      </c>
      <c r="F784">
        <v>1.095</v>
      </c>
      <c r="G784">
        <v>1.1779999999999999</v>
      </c>
      <c r="H784">
        <v>1.095</v>
      </c>
      <c r="I784">
        <v>1.1499999999999999</v>
      </c>
      <c r="J784">
        <v>12080027</v>
      </c>
      <c r="K784">
        <v>176158.15</v>
      </c>
      <c r="L784">
        <f t="shared" si="12"/>
        <v>0</v>
      </c>
      <c r="M784">
        <f>+IF(DailyData[[#This Row],[Column1]]&gt;0,DailyData[[#This Row],[Column1]]-L771,0)</f>
        <v>0</v>
      </c>
      <c r="N784" s="1">
        <f>+IF(DailyData[[#This Row],[Column2]]=0,0,DailyData[[#This Row],[Date]])</f>
        <v>0</v>
      </c>
    </row>
    <row r="785" spans="3:14" x14ac:dyDescent="0.25">
      <c r="C785" s="1">
        <v>45922</v>
      </c>
      <c r="D785" s="2" t="s">
        <v>10</v>
      </c>
      <c r="E785">
        <v>70000</v>
      </c>
      <c r="F785">
        <v>1.7050000000000001</v>
      </c>
      <c r="G785">
        <v>1.7250000000000001</v>
      </c>
      <c r="H785">
        <v>1.6950000000000001</v>
      </c>
      <c r="I785">
        <v>1.7050000000000001</v>
      </c>
      <c r="J785">
        <v>3656575</v>
      </c>
      <c r="K785">
        <v>119350</v>
      </c>
      <c r="L785">
        <f t="shared" ref="L785:L848" si="13">+IF(C786&lt;&gt;C785,SUM(K773:K785),0)</f>
        <v>0</v>
      </c>
      <c r="M785">
        <f>+IF(DailyData[[#This Row],[Column1]]&gt;0,DailyData[[#This Row],[Column1]]-L772,0)</f>
        <v>0</v>
      </c>
      <c r="N785" s="1">
        <f>+IF(DailyData[[#This Row],[Column2]]=0,0,DailyData[[#This Row],[Date]])</f>
        <v>0</v>
      </c>
    </row>
    <row r="786" spans="3:14" x14ac:dyDescent="0.25">
      <c r="C786" s="1">
        <v>45922</v>
      </c>
      <c r="D786" s="2" t="s">
        <v>11</v>
      </c>
      <c r="E786">
        <v>57458</v>
      </c>
      <c r="F786">
        <v>0.56499999999999995</v>
      </c>
      <c r="G786">
        <v>0.57999999999999996</v>
      </c>
      <c r="H786">
        <v>0.56000000000000005</v>
      </c>
      <c r="I786">
        <v>0.56999999999999995</v>
      </c>
      <c r="J786">
        <v>377019</v>
      </c>
      <c r="K786">
        <v>32751.06</v>
      </c>
      <c r="L786">
        <f t="shared" si="13"/>
        <v>0</v>
      </c>
      <c r="M786">
        <f>+IF(DailyData[[#This Row],[Column1]]&gt;0,DailyData[[#This Row],[Column1]]-L773,0)</f>
        <v>0</v>
      </c>
      <c r="N786" s="1">
        <f>+IF(DailyData[[#This Row],[Column2]]=0,0,DailyData[[#This Row],[Date]])</f>
        <v>0</v>
      </c>
    </row>
    <row r="787" spans="3:14" x14ac:dyDescent="0.25">
      <c r="C787" s="1">
        <v>45922</v>
      </c>
      <c r="D787" s="2" t="s">
        <v>12</v>
      </c>
      <c r="E787">
        <v>16361</v>
      </c>
      <c r="F787">
        <v>39.65</v>
      </c>
      <c r="G787">
        <v>40.340000000000003</v>
      </c>
      <c r="H787">
        <v>39.57</v>
      </c>
      <c r="I787">
        <v>40.03</v>
      </c>
      <c r="J787">
        <v>7393512</v>
      </c>
      <c r="K787">
        <v>654930.81000000006</v>
      </c>
      <c r="L787">
        <f t="shared" si="13"/>
        <v>0</v>
      </c>
      <c r="M787">
        <f>+IF(DailyData[[#This Row],[Column1]]&gt;0,DailyData[[#This Row],[Column1]]-L774,0)</f>
        <v>0</v>
      </c>
      <c r="N787" s="1">
        <f>+IF(DailyData[[#This Row],[Column2]]=0,0,DailyData[[#This Row],[Date]])</f>
        <v>0</v>
      </c>
    </row>
    <row r="788" spans="3:14" x14ac:dyDescent="0.25">
      <c r="C788" s="1">
        <v>45922</v>
      </c>
      <c r="D788" s="2" t="s">
        <v>13</v>
      </c>
      <c r="E788">
        <v>44090</v>
      </c>
      <c r="F788">
        <v>1.0999999999999999E-2</v>
      </c>
      <c r="G788">
        <v>1.2E-2</v>
      </c>
      <c r="H788">
        <v>1.0999999999999999E-2</v>
      </c>
      <c r="I788">
        <v>1.0999999999999999E-2</v>
      </c>
      <c r="J788">
        <v>1282443</v>
      </c>
      <c r="K788">
        <v>484.99</v>
      </c>
      <c r="L788">
        <f t="shared" si="13"/>
        <v>0</v>
      </c>
      <c r="M788">
        <f>+IF(DailyData[[#This Row],[Column1]]&gt;0,DailyData[[#This Row],[Column1]]-L775,0)</f>
        <v>0</v>
      </c>
      <c r="N788" s="1">
        <f>+IF(DailyData[[#This Row],[Column2]]=0,0,DailyData[[#This Row],[Date]])</f>
        <v>0</v>
      </c>
    </row>
    <row r="789" spans="3:14" x14ac:dyDescent="0.25">
      <c r="C789" s="1">
        <v>45922</v>
      </c>
      <c r="D789" s="2" t="s">
        <v>14</v>
      </c>
      <c r="E789">
        <v>0</v>
      </c>
      <c r="F789">
        <v>166.45</v>
      </c>
      <c r="G789">
        <v>167.4</v>
      </c>
      <c r="H789">
        <v>164.93</v>
      </c>
      <c r="I789">
        <v>165.57</v>
      </c>
      <c r="J789">
        <v>1272323</v>
      </c>
      <c r="K789">
        <v>0</v>
      </c>
      <c r="L789">
        <f t="shared" si="13"/>
        <v>0</v>
      </c>
      <c r="M789">
        <f>+IF(DailyData[[#This Row],[Column1]]&gt;0,DailyData[[#This Row],[Column1]]-L776,0)</f>
        <v>0</v>
      </c>
      <c r="N789" s="1">
        <f>+IF(DailyData[[#This Row],[Column2]]=0,0,DailyData[[#This Row],[Date]])</f>
        <v>0</v>
      </c>
    </row>
    <row r="790" spans="3:14" x14ac:dyDescent="0.25">
      <c r="C790" s="1">
        <v>45922</v>
      </c>
      <c r="D790" s="2" t="s">
        <v>15</v>
      </c>
      <c r="E790">
        <v>10000</v>
      </c>
      <c r="F790">
        <v>0.36</v>
      </c>
      <c r="G790">
        <v>0.39</v>
      </c>
      <c r="H790">
        <v>0.34499999999999997</v>
      </c>
      <c r="I790">
        <v>0.35499999999999998</v>
      </c>
      <c r="J790">
        <v>2631082</v>
      </c>
      <c r="K790">
        <v>3550</v>
      </c>
      <c r="L790">
        <f t="shared" si="13"/>
        <v>0</v>
      </c>
      <c r="M790">
        <f>+IF(DailyData[[#This Row],[Column1]]&gt;0,DailyData[[#This Row],[Column1]]-L777,0)</f>
        <v>0</v>
      </c>
      <c r="N790" s="1">
        <f>+IF(DailyData[[#This Row],[Column2]]=0,0,DailyData[[#This Row],[Date]])</f>
        <v>0</v>
      </c>
    </row>
    <row r="791" spans="3:14" x14ac:dyDescent="0.25">
      <c r="C791" s="1">
        <v>45922</v>
      </c>
      <c r="D791" s="2" t="s">
        <v>16</v>
      </c>
      <c r="E791">
        <v>20000</v>
      </c>
      <c r="F791">
        <v>0.26500000000000001</v>
      </c>
      <c r="G791">
        <v>0.27500000000000002</v>
      </c>
      <c r="H791">
        <v>0.255</v>
      </c>
      <c r="I791">
        <v>0.26500000000000001</v>
      </c>
      <c r="J791">
        <v>360975</v>
      </c>
      <c r="K791">
        <v>5300</v>
      </c>
      <c r="L791">
        <f t="shared" si="13"/>
        <v>0</v>
      </c>
      <c r="M791">
        <f>+IF(DailyData[[#This Row],[Column1]]&gt;0,DailyData[[#This Row],[Column1]]-L778,0)</f>
        <v>0</v>
      </c>
      <c r="N791" s="1">
        <f>+IF(DailyData[[#This Row],[Column2]]=0,0,DailyData[[#This Row],[Date]])</f>
        <v>0</v>
      </c>
    </row>
    <row r="792" spans="3:14" x14ac:dyDescent="0.25">
      <c r="C792" s="1">
        <v>45922</v>
      </c>
      <c r="D792" s="2" t="s">
        <v>17</v>
      </c>
      <c r="E792">
        <v>700000</v>
      </c>
      <c r="F792">
        <v>2E-3</v>
      </c>
      <c r="G792">
        <v>2E-3</v>
      </c>
      <c r="H792">
        <v>2E-3</v>
      </c>
      <c r="I792">
        <v>2E-3</v>
      </c>
      <c r="J792">
        <v>32462</v>
      </c>
      <c r="K792">
        <v>1750</v>
      </c>
      <c r="L792">
        <f t="shared" si="13"/>
        <v>0</v>
      </c>
      <c r="M792">
        <f>+IF(DailyData[[#This Row],[Column1]]&gt;0,DailyData[[#This Row],[Column1]]-L779,0)</f>
        <v>0</v>
      </c>
      <c r="N792" s="1">
        <f>+IF(DailyData[[#This Row],[Column2]]=0,0,DailyData[[#This Row],[Date]])</f>
        <v>0</v>
      </c>
    </row>
    <row r="793" spans="3:14" x14ac:dyDescent="0.25">
      <c r="C793" s="1">
        <v>45922</v>
      </c>
      <c r="D793" s="2" t="s">
        <v>18</v>
      </c>
      <c r="E793">
        <v>9412</v>
      </c>
      <c r="F793">
        <v>0.315</v>
      </c>
      <c r="G793">
        <v>0.32</v>
      </c>
      <c r="H793">
        <v>0.315</v>
      </c>
      <c r="I793">
        <v>0.315</v>
      </c>
      <c r="J793">
        <v>54800</v>
      </c>
      <c r="K793">
        <v>2964.78</v>
      </c>
      <c r="L793">
        <f t="shared" si="13"/>
        <v>0</v>
      </c>
      <c r="M793">
        <f>+IF(DailyData[[#This Row],[Column1]]&gt;0,DailyData[[#This Row],[Column1]]-L780,0)</f>
        <v>0</v>
      </c>
      <c r="N793" s="1">
        <f>+IF(DailyData[[#This Row],[Column2]]=0,0,DailyData[[#This Row],[Date]])</f>
        <v>0</v>
      </c>
    </row>
    <row r="794" spans="3:14" x14ac:dyDescent="0.25">
      <c r="C794" s="1">
        <v>45922</v>
      </c>
      <c r="D794" s="2" t="s">
        <v>19</v>
      </c>
      <c r="E794">
        <v>6000</v>
      </c>
      <c r="F794">
        <v>0.19</v>
      </c>
      <c r="G794">
        <v>0.19500000000000001</v>
      </c>
      <c r="H794">
        <v>0.17499999999999999</v>
      </c>
      <c r="I794">
        <v>0.19500000000000001</v>
      </c>
      <c r="J794">
        <v>178780</v>
      </c>
      <c r="K794">
        <v>1170</v>
      </c>
      <c r="L794">
        <f t="shared" si="13"/>
        <v>0</v>
      </c>
      <c r="M794">
        <f>+IF(DailyData[[#This Row],[Column1]]&gt;0,DailyData[[#This Row],[Column1]]-L781,0)</f>
        <v>0</v>
      </c>
      <c r="N794" s="1">
        <f>+IF(DailyData[[#This Row],[Column2]]=0,0,DailyData[[#This Row],[Date]])</f>
        <v>0</v>
      </c>
    </row>
    <row r="795" spans="3:14" x14ac:dyDescent="0.25">
      <c r="C795" s="1">
        <v>45922</v>
      </c>
      <c r="D795" s="2" t="s">
        <v>20</v>
      </c>
      <c r="E795">
        <v>0</v>
      </c>
      <c r="F795">
        <v>38.6</v>
      </c>
      <c r="G795">
        <v>38.9</v>
      </c>
      <c r="H795">
        <v>38.39</v>
      </c>
      <c r="I795">
        <v>38.56</v>
      </c>
      <c r="J795">
        <v>2722149</v>
      </c>
      <c r="K795">
        <v>0</v>
      </c>
      <c r="L795">
        <f t="shared" si="13"/>
        <v>0</v>
      </c>
      <c r="M795">
        <f>+IF(DailyData[[#This Row],[Column1]]&gt;0,DailyData[[#This Row],[Column1]]-L782,0)</f>
        <v>0</v>
      </c>
      <c r="N795" s="1">
        <f>+IF(DailyData[[#This Row],[Column2]]=0,0,DailyData[[#This Row],[Date]])</f>
        <v>0</v>
      </c>
    </row>
    <row r="796" spans="3:14" x14ac:dyDescent="0.25">
      <c r="C796" s="1">
        <v>45922</v>
      </c>
      <c r="D796" s="2" t="s">
        <v>21</v>
      </c>
      <c r="E796">
        <v>1288</v>
      </c>
      <c r="F796">
        <v>22.82</v>
      </c>
      <c r="G796">
        <v>22.835000000000001</v>
      </c>
      <c r="H796">
        <v>22.58</v>
      </c>
      <c r="I796">
        <v>22.81</v>
      </c>
      <c r="J796">
        <v>5879261</v>
      </c>
      <c r="K796">
        <v>29379.279999999999</v>
      </c>
      <c r="L796">
        <f t="shared" si="13"/>
        <v>1027789.0700000001</v>
      </c>
      <c r="M796">
        <f>+IF(DailyData[[#This Row],[Column1]]&gt;0,DailyData[[#This Row],[Column1]]-L783,0)</f>
        <v>21265.820000000065</v>
      </c>
      <c r="N796" s="1">
        <f>+IF(DailyData[[#This Row],[Column2]]=0,0,DailyData[[#This Row],[Date]])</f>
        <v>45922</v>
      </c>
    </row>
    <row r="797" spans="3:14" x14ac:dyDescent="0.25">
      <c r="C797" s="1">
        <v>45923</v>
      </c>
      <c r="D797" s="2" t="s">
        <v>9</v>
      </c>
      <c r="E797">
        <v>153181</v>
      </c>
      <c r="F797">
        <v>1.1850000000000001</v>
      </c>
      <c r="G797">
        <v>1.2</v>
      </c>
      <c r="H797">
        <v>1.1499999999999999</v>
      </c>
      <c r="I797">
        <v>1.1950000000000001</v>
      </c>
      <c r="J797">
        <v>13070740</v>
      </c>
      <c r="K797">
        <v>183051.3</v>
      </c>
      <c r="L797">
        <f t="shared" si="13"/>
        <v>0</v>
      </c>
      <c r="M797">
        <f>+IF(DailyData[[#This Row],[Column1]]&gt;0,DailyData[[#This Row],[Column1]]-L784,0)</f>
        <v>0</v>
      </c>
      <c r="N797" s="1">
        <f>+IF(DailyData[[#This Row],[Column2]]=0,0,DailyData[[#This Row],[Date]])</f>
        <v>0</v>
      </c>
    </row>
    <row r="798" spans="3:14" x14ac:dyDescent="0.25">
      <c r="C798" s="1">
        <v>45923</v>
      </c>
      <c r="D798" s="2" t="s">
        <v>10</v>
      </c>
      <c r="E798">
        <v>70000</v>
      </c>
      <c r="F798">
        <v>1.675</v>
      </c>
      <c r="G798">
        <v>1.69</v>
      </c>
      <c r="H798">
        <v>1.66</v>
      </c>
      <c r="I798">
        <v>1.68</v>
      </c>
      <c r="J798">
        <v>4892215</v>
      </c>
      <c r="K798">
        <v>117600</v>
      </c>
      <c r="L798">
        <f t="shared" si="13"/>
        <v>0</v>
      </c>
      <c r="M798">
        <f>+IF(DailyData[[#This Row],[Column1]]&gt;0,DailyData[[#This Row],[Column1]]-L785,0)</f>
        <v>0</v>
      </c>
      <c r="N798" s="1">
        <f>+IF(DailyData[[#This Row],[Column2]]=0,0,DailyData[[#This Row],[Date]])</f>
        <v>0</v>
      </c>
    </row>
    <row r="799" spans="3:14" x14ac:dyDescent="0.25">
      <c r="C799" s="1">
        <v>45923</v>
      </c>
      <c r="D799" s="2" t="s">
        <v>11</v>
      </c>
      <c r="E799">
        <v>57458</v>
      </c>
      <c r="F799">
        <v>0.57499999999999996</v>
      </c>
      <c r="G799">
        <v>0.57499999999999996</v>
      </c>
      <c r="H799">
        <v>0.55000000000000004</v>
      </c>
      <c r="I799">
        <v>0.56499999999999995</v>
      </c>
      <c r="J799">
        <v>421102</v>
      </c>
      <c r="K799">
        <v>32463.77</v>
      </c>
      <c r="L799">
        <f t="shared" si="13"/>
        <v>0</v>
      </c>
      <c r="M799">
        <f>+IF(DailyData[[#This Row],[Column1]]&gt;0,DailyData[[#This Row],[Column1]]-L786,0)</f>
        <v>0</v>
      </c>
      <c r="N799" s="1">
        <f>+IF(DailyData[[#This Row],[Column2]]=0,0,DailyData[[#This Row],[Date]])</f>
        <v>0</v>
      </c>
    </row>
    <row r="800" spans="3:14" x14ac:dyDescent="0.25">
      <c r="C800" s="1">
        <v>45923</v>
      </c>
      <c r="D800" s="2" t="s">
        <v>12</v>
      </c>
      <c r="E800">
        <v>16361</v>
      </c>
      <c r="F800">
        <v>40.299999999999997</v>
      </c>
      <c r="G800">
        <v>40.69</v>
      </c>
      <c r="H800">
        <v>40.075000000000003</v>
      </c>
      <c r="I800">
        <v>40.22</v>
      </c>
      <c r="J800">
        <v>6219232</v>
      </c>
      <c r="K800">
        <v>658039.43999999994</v>
      </c>
      <c r="L800">
        <f t="shared" si="13"/>
        <v>0</v>
      </c>
      <c r="M800">
        <f>+IF(DailyData[[#This Row],[Column1]]&gt;0,DailyData[[#This Row],[Column1]]-L787,0)</f>
        <v>0</v>
      </c>
      <c r="N800" s="1">
        <f>+IF(DailyData[[#This Row],[Column2]]=0,0,DailyData[[#This Row],[Date]])</f>
        <v>0</v>
      </c>
    </row>
    <row r="801" spans="3:14" x14ac:dyDescent="0.25">
      <c r="C801" s="1">
        <v>45923</v>
      </c>
      <c r="D801" s="2" t="s">
        <v>13</v>
      </c>
      <c r="E801">
        <v>44090</v>
      </c>
      <c r="F801">
        <v>1.2E-2</v>
      </c>
      <c r="G801">
        <v>1.2E-2</v>
      </c>
      <c r="H801">
        <v>1.0999999999999999E-2</v>
      </c>
      <c r="I801">
        <v>1.0999999999999999E-2</v>
      </c>
      <c r="J801">
        <v>518018</v>
      </c>
      <c r="K801">
        <v>484.99</v>
      </c>
      <c r="L801">
        <f t="shared" si="13"/>
        <v>0</v>
      </c>
      <c r="M801">
        <f>+IF(DailyData[[#This Row],[Column1]]&gt;0,DailyData[[#This Row],[Column1]]-L788,0)</f>
        <v>0</v>
      </c>
      <c r="N801" s="1">
        <f>+IF(DailyData[[#This Row],[Column2]]=0,0,DailyData[[#This Row],[Date]])</f>
        <v>0</v>
      </c>
    </row>
    <row r="802" spans="3:14" x14ac:dyDescent="0.25">
      <c r="C802" s="1">
        <v>45923</v>
      </c>
      <c r="D802" s="2" t="s">
        <v>14</v>
      </c>
      <c r="E802">
        <v>0</v>
      </c>
      <c r="F802">
        <v>166</v>
      </c>
      <c r="G802">
        <v>168.67500000000001</v>
      </c>
      <c r="H802">
        <v>164.96</v>
      </c>
      <c r="I802">
        <v>166.87</v>
      </c>
      <c r="J802">
        <v>1375851</v>
      </c>
      <c r="K802">
        <v>0</v>
      </c>
      <c r="L802">
        <f t="shared" si="13"/>
        <v>0</v>
      </c>
      <c r="M802">
        <f>+IF(DailyData[[#This Row],[Column1]]&gt;0,DailyData[[#This Row],[Column1]]-L789,0)</f>
        <v>0</v>
      </c>
      <c r="N802" s="1">
        <f>+IF(DailyData[[#This Row],[Column2]]=0,0,DailyData[[#This Row],[Date]])</f>
        <v>0</v>
      </c>
    </row>
    <row r="803" spans="3:14" x14ac:dyDescent="0.25">
      <c r="C803" s="1">
        <v>45923</v>
      </c>
      <c r="D803" s="2" t="s">
        <v>15</v>
      </c>
      <c r="E803">
        <v>10000</v>
      </c>
      <c r="F803">
        <v>0.36</v>
      </c>
      <c r="G803">
        <v>0.36</v>
      </c>
      <c r="H803">
        <v>0.33500000000000002</v>
      </c>
      <c r="I803">
        <v>0.33500000000000002</v>
      </c>
      <c r="J803">
        <v>1141943</v>
      </c>
      <c r="K803">
        <v>3350</v>
      </c>
      <c r="L803">
        <f t="shared" si="13"/>
        <v>0</v>
      </c>
      <c r="M803">
        <f>+IF(DailyData[[#This Row],[Column1]]&gt;0,DailyData[[#This Row],[Column1]]-L790,0)</f>
        <v>0</v>
      </c>
      <c r="N803" s="1">
        <f>+IF(DailyData[[#This Row],[Column2]]=0,0,DailyData[[#This Row],[Date]])</f>
        <v>0</v>
      </c>
    </row>
    <row r="804" spans="3:14" x14ac:dyDescent="0.25">
      <c r="C804" s="1">
        <v>45923</v>
      </c>
      <c r="D804" s="2" t="s">
        <v>16</v>
      </c>
      <c r="E804">
        <v>20000</v>
      </c>
      <c r="F804">
        <v>0.26500000000000001</v>
      </c>
      <c r="G804">
        <v>0.27</v>
      </c>
      <c r="H804">
        <v>0.26</v>
      </c>
      <c r="I804">
        <v>0.26500000000000001</v>
      </c>
      <c r="J804">
        <v>187958</v>
      </c>
      <c r="K804">
        <v>5300</v>
      </c>
      <c r="L804">
        <f t="shared" si="13"/>
        <v>0</v>
      </c>
      <c r="M804">
        <f>+IF(DailyData[[#This Row],[Column1]]&gt;0,DailyData[[#This Row],[Column1]]-L791,0)</f>
        <v>0</v>
      </c>
      <c r="N804" s="1">
        <f>+IF(DailyData[[#This Row],[Column2]]=0,0,DailyData[[#This Row],[Date]])</f>
        <v>0</v>
      </c>
    </row>
    <row r="805" spans="3:14" x14ac:dyDescent="0.25">
      <c r="C805" s="1">
        <v>45923</v>
      </c>
      <c r="D805" s="2" t="s">
        <v>17</v>
      </c>
      <c r="E805">
        <v>700000</v>
      </c>
      <c r="F805">
        <v>2E-3</v>
      </c>
      <c r="G805">
        <v>2E-3</v>
      </c>
      <c r="H805">
        <v>2E-3</v>
      </c>
      <c r="I805">
        <v>2E-3</v>
      </c>
      <c r="J805">
        <v>8103289</v>
      </c>
      <c r="K805">
        <v>1400</v>
      </c>
      <c r="L805">
        <f t="shared" si="13"/>
        <v>0</v>
      </c>
      <c r="M805">
        <f>+IF(DailyData[[#This Row],[Column1]]&gt;0,DailyData[[#This Row],[Column1]]-L792,0)</f>
        <v>0</v>
      </c>
      <c r="N805" s="1">
        <f>+IF(DailyData[[#This Row],[Column2]]=0,0,DailyData[[#This Row],[Date]])</f>
        <v>0</v>
      </c>
    </row>
    <row r="806" spans="3:14" x14ac:dyDescent="0.25">
      <c r="C806" s="1">
        <v>45923</v>
      </c>
      <c r="D806" s="2" t="s">
        <v>18</v>
      </c>
      <c r="E806">
        <v>9412</v>
      </c>
      <c r="F806">
        <v>0.315</v>
      </c>
      <c r="G806">
        <v>0.32</v>
      </c>
      <c r="H806">
        <v>0.31</v>
      </c>
      <c r="I806">
        <v>0.315</v>
      </c>
      <c r="J806">
        <v>184280</v>
      </c>
      <c r="K806">
        <v>2964.78</v>
      </c>
      <c r="L806">
        <f t="shared" si="13"/>
        <v>0</v>
      </c>
      <c r="M806">
        <f>+IF(DailyData[[#This Row],[Column1]]&gt;0,DailyData[[#This Row],[Column1]]-L793,0)</f>
        <v>0</v>
      </c>
      <c r="N806" s="1">
        <f>+IF(DailyData[[#This Row],[Column2]]=0,0,DailyData[[#This Row],[Date]])</f>
        <v>0</v>
      </c>
    </row>
    <row r="807" spans="3:14" x14ac:dyDescent="0.25">
      <c r="C807" s="1">
        <v>45923</v>
      </c>
      <c r="D807" s="2" t="s">
        <v>19</v>
      </c>
      <c r="E807">
        <v>6000</v>
      </c>
      <c r="F807">
        <v>0.19500000000000001</v>
      </c>
      <c r="G807">
        <v>0.21</v>
      </c>
      <c r="H807">
        <v>0.185</v>
      </c>
      <c r="I807">
        <v>0.185</v>
      </c>
      <c r="J807">
        <v>475920</v>
      </c>
      <c r="K807">
        <v>1110</v>
      </c>
      <c r="L807">
        <f t="shared" si="13"/>
        <v>0</v>
      </c>
      <c r="M807">
        <f>+IF(DailyData[[#This Row],[Column1]]&gt;0,DailyData[[#This Row],[Column1]]-L794,0)</f>
        <v>0</v>
      </c>
      <c r="N807" s="1">
        <f>+IF(DailyData[[#This Row],[Column2]]=0,0,DailyData[[#This Row],[Date]])</f>
        <v>0</v>
      </c>
    </row>
    <row r="808" spans="3:14" x14ac:dyDescent="0.25">
      <c r="C808" s="1">
        <v>45923</v>
      </c>
      <c r="D808" s="2" t="s">
        <v>20</v>
      </c>
      <c r="E808">
        <v>0</v>
      </c>
      <c r="F808">
        <v>38.65</v>
      </c>
      <c r="G808">
        <v>39.19</v>
      </c>
      <c r="H808">
        <v>38.484999999999999</v>
      </c>
      <c r="I808">
        <v>38.840000000000003</v>
      </c>
      <c r="J808">
        <v>3345716</v>
      </c>
      <c r="K808">
        <v>0</v>
      </c>
      <c r="L808">
        <f t="shared" si="13"/>
        <v>0</v>
      </c>
      <c r="M808">
        <f>+IF(DailyData[[#This Row],[Column1]]&gt;0,DailyData[[#This Row],[Column1]]-L795,0)</f>
        <v>0</v>
      </c>
      <c r="N808" s="1">
        <f>+IF(DailyData[[#This Row],[Column2]]=0,0,DailyData[[#This Row],[Date]])</f>
        <v>0</v>
      </c>
    </row>
    <row r="809" spans="3:14" x14ac:dyDescent="0.25">
      <c r="C809" s="1">
        <v>45923</v>
      </c>
      <c r="D809" s="2" t="s">
        <v>21</v>
      </c>
      <c r="E809">
        <v>1288</v>
      </c>
      <c r="F809">
        <v>22.81</v>
      </c>
      <c r="G809">
        <v>22.91</v>
      </c>
      <c r="H809">
        <v>22.7</v>
      </c>
      <c r="I809">
        <v>22.87</v>
      </c>
      <c r="J809">
        <v>2921764</v>
      </c>
      <c r="K809">
        <v>29456.560000000001</v>
      </c>
      <c r="L809">
        <f t="shared" si="13"/>
        <v>1035220.8400000001</v>
      </c>
      <c r="M809">
        <f>+IF(DailyData[[#This Row],[Column1]]&gt;0,DailyData[[#This Row],[Column1]]-L796,0)</f>
        <v>7431.7700000000186</v>
      </c>
      <c r="N809" s="1">
        <f>+IF(DailyData[[#This Row],[Column2]]=0,0,DailyData[[#This Row],[Date]])</f>
        <v>45923</v>
      </c>
    </row>
    <row r="810" spans="3:14" x14ac:dyDescent="0.25">
      <c r="C810" s="1">
        <v>45924</v>
      </c>
      <c r="D810" s="2" t="s">
        <v>9</v>
      </c>
      <c r="E810">
        <v>153181</v>
      </c>
      <c r="F810">
        <v>1.19</v>
      </c>
      <c r="G810">
        <v>1.22</v>
      </c>
      <c r="H810">
        <v>1.145</v>
      </c>
      <c r="I810">
        <v>1.22</v>
      </c>
      <c r="J810">
        <v>11767007</v>
      </c>
      <c r="K810">
        <v>186880.82</v>
      </c>
      <c r="L810">
        <f t="shared" si="13"/>
        <v>0</v>
      </c>
      <c r="M810">
        <f>+IF(DailyData[[#This Row],[Column1]]&gt;0,DailyData[[#This Row],[Column1]]-L797,0)</f>
        <v>0</v>
      </c>
      <c r="N810" s="1">
        <f>+IF(DailyData[[#This Row],[Column2]]=0,0,DailyData[[#This Row],[Date]])</f>
        <v>0</v>
      </c>
    </row>
    <row r="811" spans="3:14" x14ac:dyDescent="0.25">
      <c r="C811" s="1">
        <v>45924</v>
      </c>
      <c r="D811" s="2" t="s">
        <v>10</v>
      </c>
      <c r="E811">
        <v>70000</v>
      </c>
      <c r="F811">
        <v>1.67</v>
      </c>
      <c r="G811">
        <v>1.67</v>
      </c>
      <c r="H811">
        <v>1.645</v>
      </c>
      <c r="I811">
        <v>1.66</v>
      </c>
      <c r="J811">
        <v>5509782</v>
      </c>
      <c r="K811">
        <v>116200</v>
      </c>
      <c r="L811">
        <f t="shared" si="13"/>
        <v>0</v>
      </c>
      <c r="M811">
        <f>+IF(DailyData[[#This Row],[Column1]]&gt;0,DailyData[[#This Row],[Column1]]-L798,0)</f>
        <v>0</v>
      </c>
      <c r="N811" s="1">
        <f>+IF(DailyData[[#This Row],[Column2]]=0,0,DailyData[[#This Row],[Date]])</f>
        <v>0</v>
      </c>
    </row>
    <row r="812" spans="3:14" x14ac:dyDescent="0.25">
      <c r="C812" s="1">
        <v>45924</v>
      </c>
      <c r="D812" s="2" t="s">
        <v>11</v>
      </c>
      <c r="E812">
        <v>57458</v>
      </c>
      <c r="F812">
        <v>0.56499999999999995</v>
      </c>
      <c r="G812">
        <v>0.57999999999999996</v>
      </c>
      <c r="H812">
        <v>0.56000000000000005</v>
      </c>
      <c r="I812">
        <v>0.57999999999999996</v>
      </c>
      <c r="J812">
        <v>336544</v>
      </c>
      <c r="K812">
        <v>33325.64</v>
      </c>
      <c r="L812">
        <f t="shared" si="13"/>
        <v>0</v>
      </c>
      <c r="M812">
        <f>+IF(DailyData[[#This Row],[Column1]]&gt;0,DailyData[[#This Row],[Column1]]-L799,0)</f>
        <v>0</v>
      </c>
      <c r="N812" s="1">
        <f>+IF(DailyData[[#This Row],[Column2]]=0,0,DailyData[[#This Row],[Date]])</f>
        <v>0</v>
      </c>
    </row>
    <row r="813" spans="3:14" x14ac:dyDescent="0.25">
      <c r="C813" s="1">
        <v>45924</v>
      </c>
      <c r="D813" s="2" t="s">
        <v>12</v>
      </c>
      <c r="E813">
        <v>16361</v>
      </c>
      <c r="F813">
        <v>40.450000000000003</v>
      </c>
      <c r="G813">
        <v>40.47</v>
      </c>
      <c r="H813">
        <v>40</v>
      </c>
      <c r="I813">
        <v>40.24</v>
      </c>
      <c r="J813">
        <v>7179771</v>
      </c>
      <c r="K813">
        <v>658366.67000000004</v>
      </c>
      <c r="L813">
        <f t="shared" si="13"/>
        <v>0</v>
      </c>
      <c r="M813">
        <f>+IF(DailyData[[#This Row],[Column1]]&gt;0,DailyData[[#This Row],[Column1]]-L800,0)</f>
        <v>0</v>
      </c>
      <c r="N813" s="1">
        <f>+IF(DailyData[[#This Row],[Column2]]=0,0,DailyData[[#This Row],[Date]])</f>
        <v>0</v>
      </c>
    </row>
    <row r="814" spans="3:14" x14ac:dyDescent="0.25">
      <c r="C814" s="1">
        <v>45924</v>
      </c>
      <c r="D814" s="2" t="s">
        <v>13</v>
      </c>
      <c r="E814">
        <v>44090</v>
      </c>
      <c r="F814">
        <v>1.0999999999999999E-2</v>
      </c>
      <c r="G814">
        <v>1.0999999999999999E-2</v>
      </c>
      <c r="H814">
        <v>1.0999999999999999E-2</v>
      </c>
      <c r="I814">
        <v>1.0999999999999999E-2</v>
      </c>
      <c r="J814">
        <v>912255</v>
      </c>
      <c r="K814">
        <v>484.99</v>
      </c>
      <c r="L814">
        <f t="shared" si="13"/>
        <v>0</v>
      </c>
      <c r="M814">
        <f>+IF(DailyData[[#This Row],[Column1]]&gt;0,DailyData[[#This Row],[Column1]]-L801,0)</f>
        <v>0</v>
      </c>
      <c r="N814" s="1">
        <f>+IF(DailyData[[#This Row],[Column2]]=0,0,DailyData[[#This Row],[Date]])</f>
        <v>0</v>
      </c>
    </row>
    <row r="815" spans="3:14" x14ac:dyDescent="0.25">
      <c r="C815" s="1">
        <v>45924</v>
      </c>
      <c r="D815" s="2" t="s">
        <v>14</v>
      </c>
      <c r="E815">
        <v>0</v>
      </c>
      <c r="F815">
        <v>165.95</v>
      </c>
      <c r="G815">
        <v>166.8</v>
      </c>
      <c r="H815">
        <v>163.19</v>
      </c>
      <c r="I815">
        <v>164.53</v>
      </c>
      <c r="J815">
        <v>2009907</v>
      </c>
      <c r="K815">
        <v>0</v>
      </c>
      <c r="L815">
        <f t="shared" si="13"/>
        <v>0</v>
      </c>
      <c r="M815">
        <f>+IF(DailyData[[#This Row],[Column1]]&gt;0,DailyData[[#This Row],[Column1]]-L802,0)</f>
        <v>0</v>
      </c>
      <c r="N815" s="1">
        <f>+IF(DailyData[[#This Row],[Column2]]=0,0,DailyData[[#This Row],[Date]])</f>
        <v>0</v>
      </c>
    </row>
    <row r="816" spans="3:14" x14ac:dyDescent="0.25">
      <c r="C816" s="1">
        <v>45924</v>
      </c>
      <c r="D816" s="2" t="s">
        <v>15</v>
      </c>
      <c r="E816">
        <v>10000</v>
      </c>
      <c r="F816">
        <v>0.34</v>
      </c>
      <c r="G816">
        <v>0.34499999999999997</v>
      </c>
      <c r="H816">
        <v>0.32</v>
      </c>
      <c r="I816">
        <v>0.34499999999999997</v>
      </c>
      <c r="J816">
        <v>817683</v>
      </c>
      <c r="K816">
        <v>3450</v>
      </c>
      <c r="L816">
        <f t="shared" si="13"/>
        <v>0</v>
      </c>
      <c r="M816">
        <f>+IF(DailyData[[#This Row],[Column1]]&gt;0,DailyData[[#This Row],[Column1]]-L803,0)</f>
        <v>0</v>
      </c>
      <c r="N816" s="1">
        <f>+IF(DailyData[[#This Row],[Column2]]=0,0,DailyData[[#This Row],[Date]])</f>
        <v>0</v>
      </c>
    </row>
    <row r="817" spans="3:14" x14ac:dyDescent="0.25">
      <c r="C817" s="1">
        <v>45924</v>
      </c>
      <c r="D817" s="2" t="s">
        <v>16</v>
      </c>
      <c r="E817">
        <v>20000</v>
      </c>
      <c r="F817">
        <v>0.26</v>
      </c>
      <c r="G817">
        <v>0.27500000000000002</v>
      </c>
      <c r="H817">
        <v>0.255</v>
      </c>
      <c r="I817">
        <v>0.27</v>
      </c>
      <c r="J817">
        <v>1062018</v>
      </c>
      <c r="K817">
        <v>5400</v>
      </c>
      <c r="L817">
        <f t="shared" si="13"/>
        <v>0</v>
      </c>
      <c r="M817">
        <f>+IF(DailyData[[#This Row],[Column1]]&gt;0,DailyData[[#This Row],[Column1]]-L804,0)</f>
        <v>0</v>
      </c>
      <c r="N817" s="1">
        <f>+IF(DailyData[[#This Row],[Column2]]=0,0,DailyData[[#This Row],[Date]])</f>
        <v>0</v>
      </c>
    </row>
    <row r="818" spans="3:14" x14ac:dyDescent="0.25">
      <c r="C818" s="1">
        <v>45924</v>
      </c>
      <c r="D818" s="2" t="s">
        <v>17</v>
      </c>
      <c r="E818">
        <v>700000</v>
      </c>
      <c r="F818">
        <v>2E-3</v>
      </c>
      <c r="G818">
        <v>2E-3</v>
      </c>
      <c r="H818">
        <v>2E-3</v>
      </c>
      <c r="I818">
        <v>2E-3</v>
      </c>
      <c r="J818">
        <v>1034325</v>
      </c>
      <c r="K818">
        <v>1750</v>
      </c>
      <c r="L818">
        <f t="shared" si="13"/>
        <v>0</v>
      </c>
      <c r="M818">
        <f>+IF(DailyData[[#This Row],[Column1]]&gt;0,DailyData[[#This Row],[Column1]]-L805,0)</f>
        <v>0</v>
      </c>
      <c r="N818" s="1">
        <f>+IF(DailyData[[#This Row],[Column2]]=0,0,DailyData[[#This Row],[Date]])</f>
        <v>0</v>
      </c>
    </row>
    <row r="819" spans="3:14" x14ac:dyDescent="0.25">
      <c r="C819" s="1">
        <v>45924</v>
      </c>
      <c r="D819" s="2" t="s">
        <v>18</v>
      </c>
      <c r="E819">
        <v>9412</v>
      </c>
      <c r="F819">
        <v>0.315</v>
      </c>
      <c r="G819">
        <v>0.315</v>
      </c>
      <c r="H819">
        <v>0.31</v>
      </c>
      <c r="I819">
        <v>0.315</v>
      </c>
      <c r="J819">
        <v>105889</v>
      </c>
      <c r="K819">
        <v>2964.78</v>
      </c>
      <c r="L819">
        <f t="shared" si="13"/>
        <v>0</v>
      </c>
      <c r="M819">
        <f>+IF(DailyData[[#This Row],[Column1]]&gt;0,DailyData[[#This Row],[Column1]]-L806,0)</f>
        <v>0</v>
      </c>
      <c r="N819" s="1">
        <f>+IF(DailyData[[#This Row],[Column2]]=0,0,DailyData[[#This Row],[Date]])</f>
        <v>0</v>
      </c>
    </row>
    <row r="820" spans="3:14" x14ac:dyDescent="0.25">
      <c r="C820" s="1">
        <v>45924</v>
      </c>
      <c r="D820" s="2" t="s">
        <v>19</v>
      </c>
      <c r="E820">
        <v>6000</v>
      </c>
      <c r="F820">
        <v>0.185</v>
      </c>
      <c r="G820">
        <v>0.2</v>
      </c>
      <c r="H820">
        <v>0.185</v>
      </c>
      <c r="I820">
        <v>0.19</v>
      </c>
      <c r="J820">
        <v>159301</v>
      </c>
      <c r="K820">
        <v>1140</v>
      </c>
      <c r="L820">
        <f t="shared" si="13"/>
        <v>0</v>
      </c>
      <c r="M820">
        <f>+IF(DailyData[[#This Row],[Column1]]&gt;0,DailyData[[#This Row],[Column1]]-L807,0)</f>
        <v>0</v>
      </c>
      <c r="N820" s="1">
        <f>+IF(DailyData[[#This Row],[Column2]]=0,0,DailyData[[#This Row],[Date]])</f>
        <v>0</v>
      </c>
    </row>
    <row r="821" spans="3:14" x14ac:dyDescent="0.25">
      <c r="C821" s="1">
        <v>45924</v>
      </c>
      <c r="D821" s="2" t="s">
        <v>20</v>
      </c>
      <c r="E821">
        <v>0</v>
      </c>
      <c r="F821">
        <v>38.71</v>
      </c>
      <c r="G821">
        <v>38.74</v>
      </c>
      <c r="H821">
        <v>37.409999999999997</v>
      </c>
      <c r="I821">
        <v>37.58</v>
      </c>
      <c r="J821">
        <v>5688425</v>
      </c>
      <c r="K821">
        <v>0</v>
      </c>
      <c r="L821">
        <f t="shared" si="13"/>
        <v>0</v>
      </c>
      <c r="M821">
        <f>+IF(DailyData[[#This Row],[Column1]]&gt;0,DailyData[[#This Row],[Column1]]-L808,0)</f>
        <v>0</v>
      </c>
      <c r="N821" s="1">
        <f>+IF(DailyData[[#This Row],[Column2]]=0,0,DailyData[[#This Row],[Date]])</f>
        <v>0</v>
      </c>
    </row>
    <row r="822" spans="3:14" x14ac:dyDescent="0.25">
      <c r="C822" s="1">
        <v>45924</v>
      </c>
      <c r="D822" s="2" t="s">
        <v>21</v>
      </c>
      <c r="E822">
        <v>1288</v>
      </c>
      <c r="F822">
        <v>23</v>
      </c>
      <c r="G822">
        <v>23.16</v>
      </c>
      <c r="H822">
        <v>22.87</v>
      </c>
      <c r="I822">
        <v>22.87</v>
      </c>
      <c r="J822">
        <v>4761959</v>
      </c>
      <c r="K822">
        <v>29456.560000000001</v>
      </c>
      <c r="L822">
        <f t="shared" si="13"/>
        <v>1039419.4600000002</v>
      </c>
      <c r="M822">
        <f>+IF(DailyData[[#This Row],[Column1]]&gt;0,DailyData[[#This Row],[Column1]]-L809,0)</f>
        <v>4198.6200000001118</v>
      </c>
      <c r="N822" s="1">
        <f>+IF(DailyData[[#This Row],[Column2]]=0,0,DailyData[[#This Row],[Date]])</f>
        <v>45924</v>
      </c>
    </row>
    <row r="823" spans="3:14" x14ac:dyDescent="0.25">
      <c r="C823" s="1">
        <v>45925</v>
      </c>
      <c r="D823" s="2" t="s">
        <v>9</v>
      </c>
      <c r="E823">
        <v>153181</v>
      </c>
      <c r="F823">
        <v>1.19</v>
      </c>
      <c r="G823">
        <v>1.19</v>
      </c>
      <c r="H823">
        <v>1.095</v>
      </c>
      <c r="I823">
        <v>1.095</v>
      </c>
      <c r="J823">
        <v>9624745</v>
      </c>
      <c r="K823">
        <v>167733.20000000001</v>
      </c>
      <c r="L823">
        <f t="shared" si="13"/>
        <v>0</v>
      </c>
      <c r="M823">
        <f>+IF(DailyData[[#This Row],[Column1]]&gt;0,DailyData[[#This Row],[Column1]]-L810,0)</f>
        <v>0</v>
      </c>
      <c r="N823" s="1">
        <f>+IF(DailyData[[#This Row],[Column2]]=0,0,DailyData[[#This Row],[Date]])</f>
        <v>0</v>
      </c>
    </row>
    <row r="824" spans="3:14" x14ac:dyDescent="0.25">
      <c r="C824" s="1">
        <v>45925</v>
      </c>
      <c r="D824" s="2" t="s">
        <v>10</v>
      </c>
      <c r="E824">
        <v>70000</v>
      </c>
      <c r="F824">
        <v>1.645</v>
      </c>
      <c r="G824">
        <v>1.665</v>
      </c>
      <c r="H824">
        <v>1.6279999999999999</v>
      </c>
      <c r="I824">
        <v>1.66</v>
      </c>
      <c r="J824">
        <v>5252199</v>
      </c>
      <c r="K824">
        <v>116200</v>
      </c>
      <c r="L824">
        <f t="shared" si="13"/>
        <v>0</v>
      </c>
      <c r="M824">
        <f>+IF(DailyData[[#This Row],[Column1]]&gt;0,DailyData[[#This Row],[Column1]]-L811,0)</f>
        <v>0</v>
      </c>
      <c r="N824" s="1">
        <f>+IF(DailyData[[#This Row],[Column2]]=0,0,DailyData[[#This Row],[Date]])</f>
        <v>0</v>
      </c>
    </row>
    <row r="825" spans="3:14" x14ac:dyDescent="0.25">
      <c r="C825" s="1">
        <v>45925</v>
      </c>
      <c r="D825" s="2" t="s">
        <v>11</v>
      </c>
      <c r="E825">
        <v>57458</v>
      </c>
      <c r="F825">
        <v>0.57499999999999996</v>
      </c>
      <c r="G825">
        <v>0.57999999999999996</v>
      </c>
      <c r="H825">
        <v>0.54500000000000004</v>
      </c>
      <c r="I825">
        <v>0.54500000000000004</v>
      </c>
      <c r="J825">
        <v>929580</v>
      </c>
      <c r="K825">
        <v>31314.61</v>
      </c>
      <c r="L825">
        <f t="shared" si="13"/>
        <v>0</v>
      </c>
      <c r="M825">
        <f>+IF(DailyData[[#This Row],[Column1]]&gt;0,DailyData[[#This Row],[Column1]]-L812,0)</f>
        <v>0</v>
      </c>
      <c r="N825" s="1">
        <f>+IF(DailyData[[#This Row],[Column2]]=0,0,DailyData[[#This Row],[Date]])</f>
        <v>0</v>
      </c>
    </row>
    <row r="826" spans="3:14" x14ac:dyDescent="0.25">
      <c r="C826" s="1">
        <v>45925</v>
      </c>
      <c r="D826" s="2" t="s">
        <v>12</v>
      </c>
      <c r="E826">
        <v>16361</v>
      </c>
      <c r="F826">
        <v>40.99</v>
      </c>
      <c r="G826">
        <v>41.89</v>
      </c>
      <c r="H826">
        <v>40.9</v>
      </c>
      <c r="I826">
        <v>41.67</v>
      </c>
      <c r="J826">
        <v>12092384</v>
      </c>
      <c r="K826">
        <v>681762.84</v>
      </c>
      <c r="L826">
        <f t="shared" si="13"/>
        <v>0</v>
      </c>
      <c r="M826">
        <f>+IF(DailyData[[#This Row],[Column1]]&gt;0,DailyData[[#This Row],[Column1]]-L813,0)</f>
        <v>0</v>
      </c>
      <c r="N826" s="1">
        <f>+IF(DailyData[[#This Row],[Column2]]=0,0,DailyData[[#This Row],[Date]])</f>
        <v>0</v>
      </c>
    </row>
    <row r="827" spans="3:14" x14ac:dyDescent="0.25">
      <c r="C827" s="1">
        <v>45925</v>
      </c>
      <c r="D827" s="2" t="s">
        <v>13</v>
      </c>
      <c r="E827">
        <v>44090</v>
      </c>
      <c r="F827">
        <v>1.4E-2</v>
      </c>
      <c r="G827">
        <v>2.3E-2</v>
      </c>
      <c r="H827">
        <v>1.4E-2</v>
      </c>
      <c r="I827">
        <v>1.7999999999999999E-2</v>
      </c>
      <c r="J827">
        <v>46717338</v>
      </c>
      <c r="K827">
        <v>793.62</v>
      </c>
      <c r="L827">
        <f t="shared" si="13"/>
        <v>0</v>
      </c>
      <c r="M827">
        <f>+IF(DailyData[[#This Row],[Column1]]&gt;0,DailyData[[#This Row],[Column1]]-L814,0)</f>
        <v>0</v>
      </c>
      <c r="N827" s="1">
        <f>+IF(DailyData[[#This Row],[Column2]]=0,0,DailyData[[#This Row],[Date]])</f>
        <v>0</v>
      </c>
    </row>
    <row r="828" spans="3:14" x14ac:dyDescent="0.25">
      <c r="C828" s="1">
        <v>45925</v>
      </c>
      <c r="D828" s="2" t="s">
        <v>14</v>
      </c>
      <c r="E828">
        <v>0</v>
      </c>
      <c r="F828">
        <v>163.69</v>
      </c>
      <c r="G828">
        <v>164.88</v>
      </c>
      <c r="H828">
        <v>162.54</v>
      </c>
      <c r="I828">
        <v>163.74</v>
      </c>
      <c r="J828">
        <v>1607175</v>
      </c>
      <c r="K828">
        <v>0</v>
      </c>
      <c r="L828">
        <f t="shared" si="13"/>
        <v>0</v>
      </c>
      <c r="M828">
        <f>+IF(DailyData[[#This Row],[Column1]]&gt;0,DailyData[[#This Row],[Column1]]-L815,0)</f>
        <v>0</v>
      </c>
      <c r="N828" s="1">
        <f>+IF(DailyData[[#This Row],[Column2]]=0,0,DailyData[[#This Row],[Date]])</f>
        <v>0</v>
      </c>
    </row>
    <row r="829" spans="3:14" x14ac:dyDescent="0.25">
      <c r="C829" s="1">
        <v>45925</v>
      </c>
      <c r="D829" s="2" t="s">
        <v>15</v>
      </c>
      <c r="E829">
        <v>10000</v>
      </c>
      <c r="F829">
        <v>0.35</v>
      </c>
      <c r="G829">
        <v>0.37</v>
      </c>
      <c r="H829">
        <v>0.34499999999999997</v>
      </c>
      <c r="I829">
        <v>0.34499999999999997</v>
      </c>
      <c r="J829">
        <v>2379878</v>
      </c>
      <c r="K829">
        <v>3450</v>
      </c>
      <c r="L829">
        <f t="shared" si="13"/>
        <v>0</v>
      </c>
      <c r="M829">
        <f>+IF(DailyData[[#This Row],[Column1]]&gt;0,DailyData[[#This Row],[Column1]]-L816,0)</f>
        <v>0</v>
      </c>
      <c r="N829" s="1">
        <f>+IF(DailyData[[#This Row],[Column2]]=0,0,DailyData[[#This Row],[Date]])</f>
        <v>0</v>
      </c>
    </row>
    <row r="830" spans="3:14" x14ac:dyDescent="0.25">
      <c r="C830" s="1">
        <v>45925</v>
      </c>
      <c r="D830" s="2" t="s">
        <v>16</v>
      </c>
      <c r="E830">
        <v>20000</v>
      </c>
      <c r="F830">
        <v>0.27</v>
      </c>
      <c r="G830">
        <v>0.28000000000000003</v>
      </c>
      <c r="H830">
        <v>0.26</v>
      </c>
      <c r="I830">
        <v>0.26500000000000001</v>
      </c>
      <c r="J830">
        <v>584551</v>
      </c>
      <c r="K830">
        <v>5300</v>
      </c>
      <c r="L830">
        <f t="shared" si="13"/>
        <v>0</v>
      </c>
      <c r="M830">
        <f>+IF(DailyData[[#This Row],[Column1]]&gt;0,DailyData[[#This Row],[Column1]]-L817,0)</f>
        <v>0</v>
      </c>
      <c r="N830" s="1">
        <f>+IF(DailyData[[#This Row],[Column2]]=0,0,DailyData[[#This Row],[Date]])</f>
        <v>0</v>
      </c>
    </row>
    <row r="831" spans="3:14" x14ac:dyDescent="0.25">
      <c r="C831" s="1">
        <v>45925</v>
      </c>
      <c r="D831" s="2" t="s">
        <v>17</v>
      </c>
      <c r="E831">
        <v>700000</v>
      </c>
      <c r="F831">
        <v>2E-3</v>
      </c>
      <c r="G831">
        <v>2E-3</v>
      </c>
      <c r="H831">
        <v>2E-3</v>
      </c>
      <c r="I831">
        <v>2E-3</v>
      </c>
      <c r="J831">
        <v>135797</v>
      </c>
      <c r="K831">
        <v>1750</v>
      </c>
      <c r="L831">
        <f t="shared" si="13"/>
        <v>0</v>
      </c>
      <c r="M831">
        <f>+IF(DailyData[[#This Row],[Column1]]&gt;0,DailyData[[#This Row],[Column1]]-L818,0)</f>
        <v>0</v>
      </c>
      <c r="N831" s="1">
        <f>+IF(DailyData[[#This Row],[Column2]]=0,0,DailyData[[#This Row],[Date]])</f>
        <v>0</v>
      </c>
    </row>
    <row r="832" spans="3:14" x14ac:dyDescent="0.25">
      <c r="C832" s="1">
        <v>45925</v>
      </c>
      <c r="D832" s="2" t="s">
        <v>18</v>
      </c>
      <c r="E832">
        <v>9412</v>
      </c>
      <c r="F832">
        <v>0.317</v>
      </c>
      <c r="G832">
        <v>0.317</v>
      </c>
      <c r="H832">
        <v>0.308</v>
      </c>
      <c r="I832">
        <v>0.31</v>
      </c>
      <c r="J832">
        <v>126494</v>
      </c>
      <c r="K832">
        <v>2917.72</v>
      </c>
      <c r="L832">
        <f t="shared" si="13"/>
        <v>0</v>
      </c>
      <c r="M832">
        <f>+IF(DailyData[[#This Row],[Column1]]&gt;0,DailyData[[#This Row],[Column1]]-L819,0)</f>
        <v>0</v>
      </c>
      <c r="N832" s="1">
        <f>+IF(DailyData[[#This Row],[Column2]]=0,0,DailyData[[#This Row],[Date]])</f>
        <v>0</v>
      </c>
    </row>
    <row r="833" spans="3:14" x14ac:dyDescent="0.25">
      <c r="C833" s="1">
        <v>45925</v>
      </c>
      <c r="D833" s="2" t="s">
        <v>19</v>
      </c>
      <c r="E833">
        <v>6000</v>
      </c>
      <c r="F833">
        <v>0.2</v>
      </c>
      <c r="G833">
        <v>0.23</v>
      </c>
      <c r="H833">
        <v>0.19</v>
      </c>
      <c r="I833">
        <v>0.21</v>
      </c>
      <c r="J833">
        <v>443284</v>
      </c>
      <c r="K833">
        <v>1260</v>
      </c>
      <c r="L833">
        <f t="shared" si="13"/>
        <v>0</v>
      </c>
      <c r="M833">
        <f>+IF(DailyData[[#This Row],[Column1]]&gt;0,DailyData[[#This Row],[Column1]]-L820,0)</f>
        <v>0</v>
      </c>
      <c r="N833" s="1">
        <f>+IF(DailyData[[#This Row],[Column2]]=0,0,DailyData[[#This Row],[Date]])</f>
        <v>0</v>
      </c>
    </row>
    <row r="834" spans="3:14" x14ac:dyDescent="0.25">
      <c r="C834" s="1">
        <v>45925</v>
      </c>
      <c r="D834" s="2" t="s">
        <v>20</v>
      </c>
      <c r="E834">
        <v>0</v>
      </c>
      <c r="F834">
        <v>37.54</v>
      </c>
      <c r="G834">
        <v>38.049999999999997</v>
      </c>
      <c r="H834">
        <v>37.44</v>
      </c>
      <c r="I834">
        <v>37.909999999999997</v>
      </c>
      <c r="J834">
        <v>4929127</v>
      </c>
      <c r="K834">
        <v>0</v>
      </c>
      <c r="L834">
        <f t="shared" si="13"/>
        <v>0</v>
      </c>
      <c r="M834">
        <f>+IF(DailyData[[#This Row],[Column1]]&gt;0,DailyData[[#This Row],[Column1]]-L821,0)</f>
        <v>0</v>
      </c>
      <c r="N834" s="1">
        <f>+IF(DailyData[[#This Row],[Column2]]=0,0,DailyData[[#This Row],[Date]])</f>
        <v>0</v>
      </c>
    </row>
    <row r="835" spans="3:14" x14ac:dyDescent="0.25">
      <c r="C835" s="1">
        <v>45925</v>
      </c>
      <c r="D835" s="2" t="s">
        <v>21</v>
      </c>
      <c r="E835">
        <v>1288</v>
      </c>
      <c r="F835">
        <v>23.14</v>
      </c>
      <c r="G835">
        <v>23.52</v>
      </c>
      <c r="H835">
        <v>23.04</v>
      </c>
      <c r="I835">
        <v>23.45</v>
      </c>
      <c r="J835">
        <v>6585720</v>
      </c>
      <c r="K835">
        <v>30203.599999999999</v>
      </c>
      <c r="L835">
        <f t="shared" si="13"/>
        <v>1042685.5899999999</v>
      </c>
      <c r="M835">
        <f>+IF(DailyData[[#This Row],[Column1]]&gt;0,DailyData[[#This Row],[Column1]]-L822,0)</f>
        <v>3266.1299999996554</v>
      </c>
      <c r="N835" s="1">
        <f>+IF(DailyData[[#This Row],[Column2]]=0,0,DailyData[[#This Row],[Date]])</f>
        <v>45925</v>
      </c>
    </row>
    <row r="836" spans="3:14" x14ac:dyDescent="0.25">
      <c r="C836" s="1">
        <v>45926</v>
      </c>
      <c r="D836" s="2" t="s">
        <v>9</v>
      </c>
      <c r="E836">
        <v>153181</v>
      </c>
      <c r="F836">
        <v>1.1200000000000001</v>
      </c>
      <c r="G836">
        <v>1.1299999999999999</v>
      </c>
      <c r="H836">
        <v>1.085</v>
      </c>
      <c r="I836">
        <v>1.1200000000000001</v>
      </c>
      <c r="J836">
        <v>4697868</v>
      </c>
      <c r="K836">
        <v>171562.72</v>
      </c>
      <c r="L836">
        <f t="shared" si="13"/>
        <v>0</v>
      </c>
      <c r="M836">
        <f>+IF(DailyData[[#This Row],[Column1]]&gt;0,DailyData[[#This Row],[Column1]]-L823,0)</f>
        <v>0</v>
      </c>
      <c r="N836" s="1">
        <f>+IF(DailyData[[#This Row],[Column2]]=0,0,DailyData[[#This Row],[Date]])</f>
        <v>0</v>
      </c>
    </row>
    <row r="837" spans="3:14" x14ac:dyDescent="0.25">
      <c r="C837" s="1">
        <v>45926</v>
      </c>
      <c r="D837" s="2" t="s">
        <v>10</v>
      </c>
      <c r="E837">
        <v>70000</v>
      </c>
      <c r="F837">
        <v>1.66</v>
      </c>
      <c r="G837">
        <v>1.665</v>
      </c>
      <c r="H837">
        <v>1.635</v>
      </c>
      <c r="I837">
        <v>1.655</v>
      </c>
      <c r="J837">
        <v>4780200</v>
      </c>
      <c r="K837">
        <v>115850</v>
      </c>
      <c r="L837">
        <f t="shared" si="13"/>
        <v>0</v>
      </c>
      <c r="M837">
        <f>+IF(DailyData[[#This Row],[Column1]]&gt;0,DailyData[[#This Row],[Column1]]-L824,0)</f>
        <v>0</v>
      </c>
      <c r="N837" s="1">
        <f>+IF(DailyData[[#This Row],[Column2]]=0,0,DailyData[[#This Row],[Date]])</f>
        <v>0</v>
      </c>
    </row>
    <row r="838" spans="3:14" x14ac:dyDescent="0.25">
      <c r="C838" s="1">
        <v>45926</v>
      </c>
      <c r="D838" s="2" t="s">
        <v>11</v>
      </c>
      <c r="E838">
        <v>57458</v>
      </c>
      <c r="F838">
        <v>0.55000000000000004</v>
      </c>
      <c r="G838">
        <v>0.55500000000000005</v>
      </c>
      <c r="H838">
        <v>0.53500000000000003</v>
      </c>
      <c r="I838">
        <v>0.55000000000000004</v>
      </c>
      <c r="J838">
        <v>343356</v>
      </c>
      <c r="K838">
        <v>31601.9</v>
      </c>
      <c r="L838">
        <f t="shared" si="13"/>
        <v>0</v>
      </c>
      <c r="M838">
        <f>+IF(DailyData[[#This Row],[Column1]]&gt;0,DailyData[[#This Row],[Column1]]-L825,0)</f>
        <v>0</v>
      </c>
      <c r="N838" s="1">
        <f>+IF(DailyData[[#This Row],[Column2]]=0,0,DailyData[[#This Row],[Date]])</f>
        <v>0</v>
      </c>
    </row>
    <row r="839" spans="3:14" x14ac:dyDescent="0.25">
      <c r="C839" s="1">
        <v>45926</v>
      </c>
      <c r="D839" s="2" t="s">
        <v>12</v>
      </c>
      <c r="E839">
        <v>16361</v>
      </c>
      <c r="F839">
        <v>42.38</v>
      </c>
      <c r="G839">
        <v>42.67</v>
      </c>
      <c r="H839">
        <v>42.08</v>
      </c>
      <c r="I839">
        <v>42.22</v>
      </c>
      <c r="J839">
        <v>10922787</v>
      </c>
      <c r="K839">
        <v>690761.44</v>
      </c>
      <c r="L839">
        <f t="shared" si="13"/>
        <v>0</v>
      </c>
      <c r="M839">
        <f>+IF(DailyData[[#This Row],[Column1]]&gt;0,DailyData[[#This Row],[Column1]]-L826,0)</f>
        <v>0</v>
      </c>
      <c r="N839" s="1">
        <f>+IF(DailyData[[#This Row],[Column2]]=0,0,DailyData[[#This Row],[Date]])</f>
        <v>0</v>
      </c>
    </row>
    <row r="840" spans="3:14" x14ac:dyDescent="0.25">
      <c r="C840" s="1">
        <v>45926</v>
      </c>
      <c r="D840" s="2" t="s">
        <v>13</v>
      </c>
      <c r="E840">
        <v>44090</v>
      </c>
      <c r="F840">
        <v>1.9E-2</v>
      </c>
      <c r="G840">
        <v>2.3E-2</v>
      </c>
      <c r="H840">
        <v>1.7999999999999999E-2</v>
      </c>
      <c r="I840">
        <v>1.9E-2</v>
      </c>
      <c r="J840">
        <v>16568697</v>
      </c>
      <c r="K840">
        <v>837.71</v>
      </c>
      <c r="L840">
        <f t="shared" si="13"/>
        <v>0</v>
      </c>
      <c r="M840">
        <f>+IF(DailyData[[#This Row],[Column1]]&gt;0,DailyData[[#This Row],[Column1]]-L827,0)</f>
        <v>0</v>
      </c>
      <c r="N840" s="1">
        <f>+IF(DailyData[[#This Row],[Column2]]=0,0,DailyData[[#This Row],[Date]])</f>
        <v>0</v>
      </c>
    </row>
    <row r="841" spans="3:14" x14ac:dyDescent="0.25">
      <c r="C841" s="1">
        <v>45926</v>
      </c>
      <c r="D841" s="2" t="s">
        <v>14</v>
      </c>
      <c r="E841">
        <v>0</v>
      </c>
      <c r="F841">
        <v>164.14</v>
      </c>
      <c r="G841">
        <v>165.21</v>
      </c>
      <c r="H841">
        <v>163.19</v>
      </c>
      <c r="I841">
        <v>164.88</v>
      </c>
      <c r="J841">
        <v>1546068</v>
      </c>
      <c r="K841">
        <v>0</v>
      </c>
      <c r="L841">
        <f t="shared" si="13"/>
        <v>0</v>
      </c>
      <c r="M841">
        <f>+IF(DailyData[[#This Row],[Column1]]&gt;0,DailyData[[#This Row],[Column1]]-L828,0)</f>
        <v>0</v>
      </c>
      <c r="N841" s="1">
        <f>+IF(DailyData[[#This Row],[Column2]]=0,0,DailyData[[#This Row],[Date]])</f>
        <v>0</v>
      </c>
    </row>
    <row r="842" spans="3:14" x14ac:dyDescent="0.25">
      <c r="C842" s="1">
        <v>45926</v>
      </c>
      <c r="D842" s="2" t="s">
        <v>15</v>
      </c>
      <c r="E842">
        <v>10000</v>
      </c>
      <c r="F842">
        <v>0.35499999999999998</v>
      </c>
      <c r="G842">
        <v>0.36</v>
      </c>
      <c r="H842">
        <v>0.34499999999999997</v>
      </c>
      <c r="I842">
        <v>0.36</v>
      </c>
      <c r="J842">
        <v>1171258</v>
      </c>
      <c r="K842">
        <v>3600</v>
      </c>
      <c r="L842">
        <f t="shared" si="13"/>
        <v>0</v>
      </c>
      <c r="M842">
        <f>+IF(DailyData[[#This Row],[Column1]]&gt;0,DailyData[[#This Row],[Column1]]-L829,0)</f>
        <v>0</v>
      </c>
      <c r="N842" s="1">
        <f>+IF(DailyData[[#This Row],[Column2]]=0,0,DailyData[[#This Row],[Date]])</f>
        <v>0</v>
      </c>
    </row>
    <row r="843" spans="3:14" x14ac:dyDescent="0.25">
      <c r="C843" s="1">
        <v>45926</v>
      </c>
      <c r="D843" s="2" t="s">
        <v>16</v>
      </c>
      <c r="E843">
        <v>20000</v>
      </c>
      <c r="F843">
        <v>0.26500000000000001</v>
      </c>
      <c r="G843">
        <v>0.27</v>
      </c>
      <c r="H843">
        <v>0.26500000000000001</v>
      </c>
      <c r="I843">
        <v>0.27</v>
      </c>
      <c r="J843">
        <v>158623</v>
      </c>
      <c r="K843">
        <v>5400</v>
      </c>
      <c r="L843">
        <f t="shared" si="13"/>
        <v>0</v>
      </c>
      <c r="M843">
        <f>+IF(DailyData[[#This Row],[Column1]]&gt;0,DailyData[[#This Row],[Column1]]-L830,0)</f>
        <v>0</v>
      </c>
      <c r="N843" s="1">
        <f>+IF(DailyData[[#This Row],[Column2]]=0,0,DailyData[[#This Row],[Date]])</f>
        <v>0</v>
      </c>
    </row>
    <row r="844" spans="3:14" x14ac:dyDescent="0.25">
      <c r="C844" s="1">
        <v>45926</v>
      </c>
      <c r="D844" s="2" t="s">
        <v>17</v>
      </c>
      <c r="E844">
        <v>700000</v>
      </c>
      <c r="F844">
        <v>2E-3</v>
      </c>
      <c r="G844">
        <v>2E-3</v>
      </c>
      <c r="H844">
        <v>2E-3</v>
      </c>
      <c r="I844">
        <v>2E-3</v>
      </c>
      <c r="J844">
        <v>11591</v>
      </c>
      <c r="K844">
        <v>1750</v>
      </c>
      <c r="L844">
        <f t="shared" si="13"/>
        <v>0</v>
      </c>
      <c r="M844">
        <f>+IF(DailyData[[#This Row],[Column1]]&gt;0,DailyData[[#This Row],[Column1]]-L831,0)</f>
        <v>0</v>
      </c>
      <c r="N844" s="1">
        <f>+IF(DailyData[[#This Row],[Column2]]=0,0,DailyData[[#This Row],[Date]])</f>
        <v>0</v>
      </c>
    </row>
    <row r="845" spans="3:14" x14ac:dyDescent="0.25">
      <c r="C845" s="1">
        <v>45926</v>
      </c>
      <c r="D845" s="2" t="s">
        <v>18</v>
      </c>
      <c r="E845">
        <v>9412</v>
      </c>
      <c r="F845">
        <v>0.31</v>
      </c>
      <c r="G845">
        <v>0.32</v>
      </c>
      <c r="H845">
        <v>0.30499999999999999</v>
      </c>
      <c r="I845">
        <v>0.30499999999999999</v>
      </c>
      <c r="J845">
        <v>103024</v>
      </c>
      <c r="K845">
        <v>2870.66</v>
      </c>
      <c r="L845">
        <f t="shared" si="13"/>
        <v>0</v>
      </c>
      <c r="M845">
        <f>+IF(DailyData[[#This Row],[Column1]]&gt;0,DailyData[[#This Row],[Column1]]-L832,0)</f>
        <v>0</v>
      </c>
      <c r="N845" s="1">
        <f>+IF(DailyData[[#This Row],[Column2]]=0,0,DailyData[[#This Row],[Date]])</f>
        <v>0</v>
      </c>
    </row>
    <row r="846" spans="3:14" x14ac:dyDescent="0.25">
      <c r="C846" s="1">
        <v>45926</v>
      </c>
      <c r="D846" s="2" t="s">
        <v>19</v>
      </c>
      <c r="E846">
        <v>6000</v>
      </c>
      <c r="F846">
        <v>0.22</v>
      </c>
      <c r="G846">
        <v>0.245</v>
      </c>
      <c r="H846">
        <v>0.21</v>
      </c>
      <c r="I846">
        <v>0.23</v>
      </c>
      <c r="J846">
        <v>823464</v>
      </c>
      <c r="K846">
        <v>1380</v>
      </c>
      <c r="L846">
        <f t="shared" si="13"/>
        <v>0</v>
      </c>
      <c r="M846">
        <f>+IF(DailyData[[#This Row],[Column1]]&gt;0,DailyData[[#This Row],[Column1]]-L833,0)</f>
        <v>0</v>
      </c>
      <c r="N846" s="1">
        <f>+IF(DailyData[[#This Row],[Column2]]=0,0,DailyData[[#This Row],[Date]])</f>
        <v>0</v>
      </c>
    </row>
    <row r="847" spans="3:14" x14ac:dyDescent="0.25">
      <c r="C847" s="1">
        <v>45926</v>
      </c>
      <c r="D847" s="2" t="s">
        <v>20</v>
      </c>
      <c r="E847">
        <v>0</v>
      </c>
      <c r="F847">
        <v>37.78</v>
      </c>
      <c r="G847">
        <v>38.32</v>
      </c>
      <c r="H847">
        <v>37.74</v>
      </c>
      <c r="I847">
        <v>38.17</v>
      </c>
      <c r="J847">
        <v>3659168</v>
      </c>
      <c r="K847">
        <v>0</v>
      </c>
      <c r="L847">
        <f t="shared" si="13"/>
        <v>0</v>
      </c>
      <c r="M847">
        <f>+IF(DailyData[[#This Row],[Column1]]&gt;0,DailyData[[#This Row],[Column1]]-L834,0)</f>
        <v>0</v>
      </c>
      <c r="N847" s="1">
        <f>+IF(DailyData[[#This Row],[Column2]]=0,0,DailyData[[#This Row],[Date]])</f>
        <v>0</v>
      </c>
    </row>
    <row r="848" spans="3:14" x14ac:dyDescent="0.25">
      <c r="C848" s="1">
        <v>45926</v>
      </c>
      <c r="D848" s="2" t="s">
        <v>21</v>
      </c>
      <c r="E848">
        <v>1288</v>
      </c>
      <c r="F848">
        <v>23.6</v>
      </c>
      <c r="G848">
        <v>23.6</v>
      </c>
      <c r="H848">
        <v>23.27</v>
      </c>
      <c r="I848">
        <v>23.33</v>
      </c>
      <c r="J848">
        <v>4053362</v>
      </c>
      <c r="K848">
        <v>30049.040000000001</v>
      </c>
      <c r="L848">
        <f t="shared" si="13"/>
        <v>1055663.47</v>
      </c>
      <c r="M848">
        <f>+IF(DailyData[[#This Row],[Column1]]&gt;0,DailyData[[#This Row],[Column1]]-L835,0)</f>
        <v>12977.880000000121</v>
      </c>
      <c r="N848" s="1">
        <f>+IF(DailyData[[#This Row],[Column2]]=0,0,DailyData[[#This Row],[Date]])</f>
        <v>45926</v>
      </c>
    </row>
    <row r="849" spans="3:14" x14ac:dyDescent="0.25">
      <c r="C849" s="1">
        <v>45929</v>
      </c>
      <c r="D849" s="2" t="s">
        <v>9</v>
      </c>
      <c r="E849">
        <v>153181</v>
      </c>
      <c r="F849">
        <v>1.1299999999999999</v>
      </c>
      <c r="G849">
        <v>1.163</v>
      </c>
      <c r="H849">
        <v>1.1000000000000001</v>
      </c>
      <c r="I849">
        <v>1.155</v>
      </c>
      <c r="J849">
        <v>7753137</v>
      </c>
      <c r="K849">
        <v>176924.05</v>
      </c>
      <c r="L849">
        <f t="shared" ref="L849:L912" si="14">+IF(C850&lt;&gt;C849,SUM(K837:K849),0)</f>
        <v>0</v>
      </c>
      <c r="M849">
        <f>+IF(DailyData[[#This Row],[Column1]]&gt;0,DailyData[[#This Row],[Column1]]-L836,0)</f>
        <v>0</v>
      </c>
      <c r="N849" s="1">
        <f>+IF(DailyData[[#This Row],[Column2]]=0,0,DailyData[[#This Row],[Date]])</f>
        <v>0</v>
      </c>
    </row>
    <row r="850" spans="3:14" x14ac:dyDescent="0.25">
      <c r="C850" s="1">
        <v>45929</v>
      </c>
      <c r="D850" s="2" t="s">
        <v>10</v>
      </c>
      <c r="E850">
        <v>70000</v>
      </c>
      <c r="F850">
        <v>1.655</v>
      </c>
      <c r="G850">
        <v>1.6919999999999999</v>
      </c>
      <c r="H850">
        <v>1.64</v>
      </c>
      <c r="I850">
        <v>1.68</v>
      </c>
      <c r="J850">
        <v>4400441</v>
      </c>
      <c r="K850">
        <v>117600</v>
      </c>
      <c r="L850">
        <f t="shared" si="14"/>
        <v>0</v>
      </c>
      <c r="M850">
        <f>+IF(DailyData[[#This Row],[Column1]]&gt;0,DailyData[[#This Row],[Column1]]-L837,0)</f>
        <v>0</v>
      </c>
      <c r="N850" s="1">
        <f>+IF(DailyData[[#This Row],[Column2]]=0,0,DailyData[[#This Row],[Date]])</f>
        <v>0</v>
      </c>
    </row>
    <row r="851" spans="3:14" x14ac:dyDescent="0.25">
      <c r="C851" s="1">
        <v>45929</v>
      </c>
      <c r="D851" s="2" t="s">
        <v>11</v>
      </c>
      <c r="E851">
        <v>57458</v>
      </c>
      <c r="F851">
        <v>0.55500000000000005</v>
      </c>
      <c r="G851">
        <v>0.6</v>
      </c>
      <c r="H851">
        <v>0.55000000000000004</v>
      </c>
      <c r="I851">
        <v>0.57499999999999996</v>
      </c>
      <c r="J851">
        <v>1862657</v>
      </c>
      <c r="K851">
        <v>33038.35</v>
      </c>
      <c r="L851">
        <f t="shared" si="14"/>
        <v>0</v>
      </c>
      <c r="M851">
        <f>+IF(DailyData[[#This Row],[Column1]]&gt;0,DailyData[[#This Row],[Column1]]-L838,0)</f>
        <v>0</v>
      </c>
      <c r="N851" s="1">
        <f>+IF(DailyData[[#This Row],[Column2]]=0,0,DailyData[[#This Row],[Date]])</f>
        <v>0</v>
      </c>
    </row>
    <row r="852" spans="3:14" x14ac:dyDescent="0.25">
      <c r="C852" s="1">
        <v>45929</v>
      </c>
      <c r="D852" s="2" t="s">
        <v>12</v>
      </c>
      <c r="E852">
        <v>16361</v>
      </c>
      <c r="F852">
        <v>41.8</v>
      </c>
      <c r="G852">
        <v>41.99</v>
      </c>
      <c r="H852">
        <v>41.51</v>
      </c>
      <c r="I852">
        <v>41.91</v>
      </c>
      <c r="J852">
        <v>9744918</v>
      </c>
      <c r="K852">
        <v>685689.51</v>
      </c>
      <c r="L852">
        <f t="shared" si="14"/>
        <v>0</v>
      </c>
      <c r="M852">
        <f>+IF(DailyData[[#This Row],[Column1]]&gt;0,DailyData[[#This Row],[Column1]]-L839,0)</f>
        <v>0</v>
      </c>
      <c r="N852" s="1">
        <f>+IF(DailyData[[#This Row],[Column2]]=0,0,DailyData[[#This Row],[Date]])</f>
        <v>0</v>
      </c>
    </row>
    <row r="853" spans="3:14" x14ac:dyDescent="0.25">
      <c r="C853" s="1">
        <v>45929</v>
      </c>
      <c r="D853" s="2" t="s">
        <v>13</v>
      </c>
      <c r="E853">
        <v>44090</v>
      </c>
      <c r="F853">
        <v>1.7999999999999999E-2</v>
      </c>
      <c r="G853">
        <v>1.7999999999999999E-2</v>
      </c>
      <c r="H853">
        <v>1.6E-2</v>
      </c>
      <c r="I853">
        <v>1.6E-2</v>
      </c>
      <c r="J853">
        <v>6318015</v>
      </c>
      <c r="K853">
        <v>705.44</v>
      </c>
      <c r="L853">
        <f t="shared" si="14"/>
        <v>0</v>
      </c>
      <c r="M853">
        <f>+IF(DailyData[[#This Row],[Column1]]&gt;0,DailyData[[#This Row],[Column1]]-L840,0)</f>
        <v>0</v>
      </c>
      <c r="N853" s="1">
        <f>+IF(DailyData[[#This Row],[Column2]]=0,0,DailyData[[#This Row],[Date]])</f>
        <v>0</v>
      </c>
    </row>
    <row r="854" spans="3:14" x14ac:dyDescent="0.25">
      <c r="C854" s="1">
        <v>45929</v>
      </c>
      <c r="D854" s="2" t="s">
        <v>14</v>
      </c>
      <c r="E854">
        <v>0</v>
      </c>
      <c r="F854">
        <v>165</v>
      </c>
      <c r="G854">
        <v>169.38</v>
      </c>
      <c r="H854">
        <v>164.76</v>
      </c>
      <c r="I854">
        <v>168.43</v>
      </c>
      <c r="J854">
        <v>1809099</v>
      </c>
      <c r="K854">
        <v>0</v>
      </c>
      <c r="L854">
        <f t="shared" si="14"/>
        <v>0</v>
      </c>
      <c r="M854">
        <f>+IF(DailyData[[#This Row],[Column1]]&gt;0,DailyData[[#This Row],[Column1]]-L841,0)</f>
        <v>0</v>
      </c>
      <c r="N854" s="1">
        <f>+IF(DailyData[[#This Row],[Column2]]=0,0,DailyData[[#This Row],[Date]])</f>
        <v>0</v>
      </c>
    </row>
    <row r="855" spans="3:14" x14ac:dyDescent="0.25">
      <c r="C855" s="1">
        <v>45929</v>
      </c>
      <c r="D855" s="2" t="s">
        <v>15</v>
      </c>
      <c r="E855">
        <v>10000</v>
      </c>
      <c r="F855">
        <v>0.36</v>
      </c>
      <c r="G855">
        <v>0.36499999999999999</v>
      </c>
      <c r="H855">
        <v>0.34499999999999997</v>
      </c>
      <c r="I855">
        <v>0.35499999999999998</v>
      </c>
      <c r="J855">
        <v>862939</v>
      </c>
      <c r="K855">
        <v>3550</v>
      </c>
      <c r="L855">
        <f t="shared" si="14"/>
        <v>0</v>
      </c>
      <c r="M855">
        <f>+IF(DailyData[[#This Row],[Column1]]&gt;0,DailyData[[#This Row],[Column1]]-L842,0)</f>
        <v>0</v>
      </c>
      <c r="N855" s="1">
        <f>+IF(DailyData[[#This Row],[Column2]]=0,0,DailyData[[#This Row],[Date]])</f>
        <v>0</v>
      </c>
    </row>
    <row r="856" spans="3:14" x14ac:dyDescent="0.25">
      <c r="C856" s="1">
        <v>45929</v>
      </c>
      <c r="D856" s="2" t="s">
        <v>16</v>
      </c>
      <c r="E856">
        <v>20000</v>
      </c>
      <c r="F856">
        <v>0.27</v>
      </c>
      <c r="G856">
        <v>0.27</v>
      </c>
      <c r="H856">
        <v>0.26</v>
      </c>
      <c r="I856">
        <v>0.26</v>
      </c>
      <c r="J856">
        <v>181236</v>
      </c>
      <c r="K856">
        <v>5200</v>
      </c>
      <c r="L856">
        <f t="shared" si="14"/>
        <v>0</v>
      </c>
      <c r="M856">
        <f>+IF(DailyData[[#This Row],[Column1]]&gt;0,DailyData[[#This Row],[Column1]]-L843,0)</f>
        <v>0</v>
      </c>
      <c r="N856" s="1">
        <f>+IF(DailyData[[#This Row],[Column2]]=0,0,DailyData[[#This Row],[Date]])</f>
        <v>0</v>
      </c>
    </row>
    <row r="857" spans="3:14" x14ac:dyDescent="0.25">
      <c r="C857" s="1">
        <v>45929</v>
      </c>
      <c r="D857" s="2" t="s">
        <v>17</v>
      </c>
      <c r="E857">
        <v>700000</v>
      </c>
      <c r="F857">
        <v>2E-3</v>
      </c>
      <c r="G857">
        <v>2E-3</v>
      </c>
      <c r="H857">
        <v>2E-3</v>
      </c>
      <c r="I857">
        <v>2E-3</v>
      </c>
      <c r="J857">
        <v>1529218</v>
      </c>
      <c r="K857">
        <v>1400</v>
      </c>
      <c r="L857">
        <f t="shared" si="14"/>
        <v>0</v>
      </c>
      <c r="M857">
        <f>+IF(DailyData[[#This Row],[Column1]]&gt;0,DailyData[[#This Row],[Column1]]-L844,0)</f>
        <v>0</v>
      </c>
      <c r="N857" s="1">
        <f>+IF(DailyData[[#This Row],[Column2]]=0,0,DailyData[[#This Row],[Date]])</f>
        <v>0</v>
      </c>
    </row>
    <row r="858" spans="3:14" x14ac:dyDescent="0.25">
      <c r="C858" s="1">
        <v>45929</v>
      </c>
      <c r="D858" s="2" t="s">
        <v>18</v>
      </c>
      <c r="E858">
        <v>9412</v>
      </c>
      <c r="F858">
        <v>0.30499999999999999</v>
      </c>
      <c r="G858">
        <v>0.308</v>
      </c>
      <c r="H858">
        <v>0.28000000000000003</v>
      </c>
      <c r="I858">
        <v>0.28999999999999998</v>
      </c>
      <c r="J858">
        <v>751483</v>
      </c>
      <c r="K858">
        <v>2729.48</v>
      </c>
      <c r="L858">
        <f t="shared" si="14"/>
        <v>0</v>
      </c>
      <c r="M858">
        <f>+IF(DailyData[[#This Row],[Column1]]&gt;0,DailyData[[#This Row],[Column1]]-L845,0)</f>
        <v>0</v>
      </c>
      <c r="N858" s="1">
        <f>+IF(DailyData[[#This Row],[Column2]]=0,0,DailyData[[#This Row],[Date]])</f>
        <v>0</v>
      </c>
    </row>
    <row r="859" spans="3:14" x14ac:dyDescent="0.25">
      <c r="C859" s="1">
        <v>45929</v>
      </c>
      <c r="D859" s="2" t="s">
        <v>19</v>
      </c>
      <c r="E859">
        <v>6000</v>
      </c>
      <c r="F859">
        <v>0.23</v>
      </c>
      <c r="G859">
        <v>0.24</v>
      </c>
      <c r="H859">
        <v>0.22</v>
      </c>
      <c r="I859">
        <v>0.23</v>
      </c>
      <c r="J859">
        <v>287682</v>
      </c>
      <c r="K859">
        <v>1380</v>
      </c>
      <c r="L859">
        <f t="shared" si="14"/>
        <v>0</v>
      </c>
      <c r="M859">
        <f>+IF(DailyData[[#This Row],[Column1]]&gt;0,DailyData[[#This Row],[Column1]]-L846,0)</f>
        <v>0</v>
      </c>
      <c r="N859" s="1">
        <f>+IF(DailyData[[#This Row],[Column2]]=0,0,DailyData[[#This Row],[Date]])</f>
        <v>0</v>
      </c>
    </row>
    <row r="860" spans="3:14" x14ac:dyDescent="0.25">
      <c r="C860" s="1">
        <v>45929</v>
      </c>
      <c r="D860" s="2" t="s">
        <v>20</v>
      </c>
      <c r="E860">
        <v>0</v>
      </c>
      <c r="F860">
        <v>38.47</v>
      </c>
      <c r="G860">
        <v>39.020000000000003</v>
      </c>
      <c r="H860">
        <v>38.369999999999997</v>
      </c>
      <c r="I860">
        <v>38.950000000000003</v>
      </c>
      <c r="J860">
        <v>4203500</v>
      </c>
      <c r="K860">
        <v>0</v>
      </c>
      <c r="L860">
        <f t="shared" si="14"/>
        <v>0</v>
      </c>
      <c r="M860">
        <f>+IF(DailyData[[#This Row],[Column1]]&gt;0,DailyData[[#This Row],[Column1]]-L847,0)</f>
        <v>0</v>
      </c>
      <c r="N860" s="1">
        <f>+IF(DailyData[[#This Row],[Column2]]=0,0,DailyData[[#This Row],[Date]])</f>
        <v>0</v>
      </c>
    </row>
    <row r="861" spans="3:14" x14ac:dyDescent="0.25">
      <c r="C861" s="1">
        <v>45929</v>
      </c>
      <c r="D861" s="2" t="s">
        <v>21</v>
      </c>
      <c r="E861">
        <v>1288</v>
      </c>
      <c r="F861">
        <v>23.47</v>
      </c>
      <c r="G861">
        <v>23.54</v>
      </c>
      <c r="H861">
        <v>23.31</v>
      </c>
      <c r="I861">
        <v>23.42</v>
      </c>
      <c r="J861">
        <v>3203415</v>
      </c>
      <c r="K861">
        <v>30164.959999999999</v>
      </c>
      <c r="L861">
        <f t="shared" si="14"/>
        <v>1058381.7899999998</v>
      </c>
      <c r="M861">
        <f>+IF(DailyData[[#This Row],[Column1]]&gt;0,DailyData[[#This Row],[Column1]]-L848,0)</f>
        <v>2718.3199999998324</v>
      </c>
      <c r="N861" s="1">
        <f>+IF(DailyData[[#This Row],[Column2]]=0,0,DailyData[[#This Row],[Date]])</f>
        <v>45929</v>
      </c>
    </row>
    <row r="862" spans="3:14" x14ac:dyDescent="0.25">
      <c r="C862" s="1">
        <v>45930</v>
      </c>
      <c r="D862" s="2" t="s">
        <v>9</v>
      </c>
      <c r="E862">
        <v>153181</v>
      </c>
      <c r="F862">
        <v>1.145</v>
      </c>
      <c r="G862">
        <v>1.165</v>
      </c>
      <c r="H862">
        <v>1.135</v>
      </c>
      <c r="I862">
        <v>1.145</v>
      </c>
      <c r="J862">
        <v>7975684</v>
      </c>
      <c r="K862">
        <v>175392.24</v>
      </c>
      <c r="L862">
        <f t="shared" si="14"/>
        <v>0</v>
      </c>
      <c r="M862">
        <f>+IF(DailyData[[#This Row],[Column1]]&gt;0,DailyData[[#This Row],[Column1]]-L849,0)</f>
        <v>0</v>
      </c>
      <c r="N862" s="1">
        <f>+IF(DailyData[[#This Row],[Column2]]=0,0,DailyData[[#This Row],[Date]])</f>
        <v>0</v>
      </c>
    </row>
    <row r="863" spans="3:14" x14ac:dyDescent="0.25">
      <c r="C863" s="1">
        <v>45930</v>
      </c>
      <c r="D863" s="2" t="s">
        <v>10</v>
      </c>
      <c r="E863">
        <v>70000</v>
      </c>
      <c r="F863">
        <v>1.665</v>
      </c>
      <c r="G863">
        <v>1.68</v>
      </c>
      <c r="H863">
        <v>1.645</v>
      </c>
      <c r="I863">
        <v>1.66</v>
      </c>
      <c r="J863">
        <v>13198599</v>
      </c>
      <c r="K863">
        <v>116200</v>
      </c>
      <c r="L863">
        <f t="shared" si="14"/>
        <v>0</v>
      </c>
      <c r="M863">
        <f>+IF(DailyData[[#This Row],[Column1]]&gt;0,DailyData[[#This Row],[Column1]]-L850,0)</f>
        <v>0</v>
      </c>
      <c r="N863" s="1">
        <f>+IF(DailyData[[#This Row],[Column2]]=0,0,DailyData[[#This Row],[Date]])</f>
        <v>0</v>
      </c>
    </row>
    <row r="864" spans="3:14" x14ac:dyDescent="0.25">
      <c r="C864" s="1">
        <v>45930</v>
      </c>
      <c r="D864" s="2" t="s">
        <v>11</v>
      </c>
      <c r="E864">
        <v>57458</v>
      </c>
      <c r="F864">
        <v>0.57999999999999996</v>
      </c>
      <c r="G864">
        <v>0.59</v>
      </c>
      <c r="H864">
        <v>0.56999999999999995</v>
      </c>
      <c r="I864">
        <v>0.56999999999999995</v>
      </c>
      <c r="J864">
        <v>307880</v>
      </c>
      <c r="K864">
        <v>32751.06</v>
      </c>
      <c r="L864">
        <f t="shared" si="14"/>
        <v>0</v>
      </c>
      <c r="M864">
        <f>+IF(DailyData[[#This Row],[Column1]]&gt;0,DailyData[[#This Row],[Column1]]-L851,0)</f>
        <v>0</v>
      </c>
      <c r="N864" s="1">
        <f>+IF(DailyData[[#This Row],[Column2]]=0,0,DailyData[[#This Row],[Date]])</f>
        <v>0</v>
      </c>
    </row>
    <row r="865" spans="3:14" x14ac:dyDescent="0.25">
      <c r="C865" s="1">
        <v>45930</v>
      </c>
      <c r="D865" s="2" t="s">
        <v>12</v>
      </c>
      <c r="E865">
        <v>16361</v>
      </c>
      <c r="F865">
        <v>42.75</v>
      </c>
      <c r="G865">
        <v>42.94</v>
      </c>
      <c r="H865">
        <v>42.53</v>
      </c>
      <c r="I865">
        <v>42.53</v>
      </c>
      <c r="J865">
        <v>12591714</v>
      </c>
      <c r="K865">
        <v>695833.31</v>
      </c>
      <c r="L865">
        <f t="shared" si="14"/>
        <v>0</v>
      </c>
      <c r="M865">
        <f>+IF(DailyData[[#This Row],[Column1]]&gt;0,DailyData[[#This Row],[Column1]]-L852,0)</f>
        <v>0</v>
      </c>
      <c r="N865" s="1">
        <f>+IF(DailyData[[#This Row],[Column2]]=0,0,DailyData[[#This Row],[Date]])</f>
        <v>0</v>
      </c>
    </row>
    <row r="866" spans="3:14" x14ac:dyDescent="0.25">
      <c r="C866" s="1">
        <v>45930</v>
      </c>
      <c r="D866" s="2" t="s">
        <v>13</v>
      </c>
      <c r="E866">
        <v>44090</v>
      </c>
      <c r="F866">
        <v>1.7000000000000001E-2</v>
      </c>
      <c r="G866">
        <v>1.7999999999999999E-2</v>
      </c>
      <c r="H866">
        <v>1.6E-2</v>
      </c>
      <c r="I866">
        <v>1.7000000000000001E-2</v>
      </c>
      <c r="J866">
        <v>1811501</v>
      </c>
      <c r="K866">
        <v>749.53</v>
      </c>
      <c r="L866">
        <f t="shared" si="14"/>
        <v>0</v>
      </c>
      <c r="M866">
        <f>+IF(DailyData[[#This Row],[Column1]]&gt;0,DailyData[[#This Row],[Column1]]-L853,0)</f>
        <v>0</v>
      </c>
      <c r="N866" s="1">
        <f>+IF(DailyData[[#This Row],[Column2]]=0,0,DailyData[[#This Row],[Date]])</f>
        <v>0</v>
      </c>
    </row>
    <row r="867" spans="3:14" x14ac:dyDescent="0.25">
      <c r="C867" s="1">
        <v>45930</v>
      </c>
      <c r="D867" s="2" t="s">
        <v>14</v>
      </c>
      <c r="E867">
        <v>0</v>
      </c>
      <c r="F867">
        <v>167.15</v>
      </c>
      <c r="G867">
        <v>168.23</v>
      </c>
      <c r="H867">
        <v>165.81</v>
      </c>
      <c r="I867">
        <v>166.9</v>
      </c>
      <c r="J867">
        <v>1882707</v>
      </c>
      <c r="K867">
        <v>0</v>
      </c>
      <c r="L867">
        <f t="shared" si="14"/>
        <v>0</v>
      </c>
      <c r="M867">
        <f>+IF(DailyData[[#This Row],[Column1]]&gt;0,DailyData[[#This Row],[Column1]]-L854,0)</f>
        <v>0</v>
      </c>
      <c r="N867" s="1">
        <f>+IF(DailyData[[#This Row],[Column2]]=0,0,DailyData[[#This Row],[Date]])</f>
        <v>0</v>
      </c>
    </row>
    <row r="868" spans="3:14" x14ac:dyDescent="0.25">
      <c r="C868" s="1">
        <v>45930</v>
      </c>
      <c r="D868" s="2" t="s">
        <v>15</v>
      </c>
      <c r="E868">
        <v>10000</v>
      </c>
      <c r="F868">
        <v>0.35</v>
      </c>
      <c r="G868">
        <v>0.35499999999999998</v>
      </c>
      <c r="H868">
        <v>0.33500000000000002</v>
      </c>
      <c r="I868">
        <v>0.35499999999999998</v>
      </c>
      <c r="J868">
        <v>2513617</v>
      </c>
      <c r="K868">
        <v>3550</v>
      </c>
      <c r="L868">
        <f t="shared" si="14"/>
        <v>0</v>
      </c>
      <c r="M868">
        <f>+IF(DailyData[[#This Row],[Column1]]&gt;0,DailyData[[#This Row],[Column1]]-L855,0)</f>
        <v>0</v>
      </c>
      <c r="N868" s="1">
        <f>+IF(DailyData[[#This Row],[Column2]]=0,0,DailyData[[#This Row],[Date]])</f>
        <v>0</v>
      </c>
    </row>
    <row r="869" spans="3:14" x14ac:dyDescent="0.25">
      <c r="C869" s="1">
        <v>45930</v>
      </c>
      <c r="D869" s="2" t="s">
        <v>16</v>
      </c>
      <c r="E869">
        <v>20000</v>
      </c>
      <c r="F869">
        <v>0.26</v>
      </c>
      <c r="G869">
        <v>0.28499999999999998</v>
      </c>
      <c r="H869">
        <v>0.26</v>
      </c>
      <c r="I869">
        <v>0.28000000000000003</v>
      </c>
      <c r="J869">
        <v>906781</v>
      </c>
      <c r="K869">
        <v>5600</v>
      </c>
      <c r="L869">
        <f t="shared" si="14"/>
        <v>0</v>
      </c>
      <c r="M869">
        <f>+IF(DailyData[[#This Row],[Column1]]&gt;0,DailyData[[#This Row],[Column1]]-L856,0)</f>
        <v>0</v>
      </c>
      <c r="N869" s="1">
        <f>+IF(DailyData[[#This Row],[Column2]]=0,0,DailyData[[#This Row],[Date]])</f>
        <v>0</v>
      </c>
    </row>
    <row r="870" spans="3:14" x14ac:dyDescent="0.25">
      <c r="C870" s="1">
        <v>45930</v>
      </c>
      <c r="D870" s="2" t="s">
        <v>17</v>
      </c>
      <c r="E870">
        <v>700000</v>
      </c>
      <c r="F870">
        <v>2E-3</v>
      </c>
      <c r="G870">
        <v>2E-3</v>
      </c>
      <c r="H870">
        <v>2E-3</v>
      </c>
      <c r="I870">
        <v>2E-3</v>
      </c>
      <c r="J870">
        <v>1616477</v>
      </c>
      <c r="K870">
        <v>1400</v>
      </c>
      <c r="L870">
        <f t="shared" si="14"/>
        <v>0</v>
      </c>
      <c r="M870">
        <f>+IF(DailyData[[#This Row],[Column1]]&gt;0,DailyData[[#This Row],[Column1]]-L857,0)</f>
        <v>0</v>
      </c>
      <c r="N870" s="1">
        <f>+IF(DailyData[[#This Row],[Column2]]=0,0,DailyData[[#This Row],[Date]])</f>
        <v>0</v>
      </c>
    </row>
    <row r="871" spans="3:14" x14ac:dyDescent="0.25">
      <c r="C871" s="1">
        <v>45930</v>
      </c>
      <c r="D871" s="2" t="s">
        <v>18</v>
      </c>
      <c r="E871">
        <v>9412</v>
      </c>
      <c r="F871">
        <v>0.28999999999999998</v>
      </c>
      <c r="G871">
        <v>0.30499999999999999</v>
      </c>
      <c r="H871">
        <v>0.28999999999999998</v>
      </c>
      <c r="I871">
        <v>0.3</v>
      </c>
      <c r="J871">
        <v>279055</v>
      </c>
      <c r="K871">
        <v>2823.6</v>
      </c>
      <c r="L871">
        <f t="shared" si="14"/>
        <v>0</v>
      </c>
      <c r="M871">
        <f>+IF(DailyData[[#This Row],[Column1]]&gt;0,DailyData[[#This Row],[Column1]]-L858,0)</f>
        <v>0</v>
      </c>
      <c r="N871" s="1">
        <f>+IF(DailyData[[#This Row],[Column2]]=0,0,DailyData[[#This Row],[Date]])</f>
        <v>0</v>
      </c>
    </row>
    <row r="872" spans="3:14" x14ac:dyDescent="0.25">
      <c r="C872" s="1">
        <v>45930</v>
      </c>
      <c r="D872" s="2" t="s">
        <v>19</v>
      </c>
      <c r="E872">
        <v>6000</v>
      </c>
      <c r="F872">
        <v>0.23499999999999999</v>
      </c>
      <c r="G872">
        <v>0.23499999999999999</v>
      </c>
      <c r="H872">
        <v>0.21</v>
      </c>
      <c r="I872">
        <v>0.215</v>
      </c>
      <c r="J872">
        <v>305034</v>
      </c>
      <c r="K872">
        <v>1290</v>
      </c>
      <c r="L872">
        <f t="shared" si="14"/>
        <v>0</v>
      </c>
      <c r="M872">
        <f>+IF(DailyData[[#This Row],[Column1]]&gt;0,DailyData[[#This Row],[Column1]]-L859,0)</f>
        <v>0</v>
      </c>
      <c r="N872" s="1">
        <f>+IF(DailyData[[#This Row],[Column2]]=0,0,DailyData[[#This Row],[Date]])</f>
        <v>0</v>
      </c>
    </row>
    <row r="873" spans="3:14" x14ac:dyDescent="0.25">
      <c r="C873" s="1">
        <v>45930</v>
      </c>
      <c r="D873" s="2" t="s">
        <v>20</v>
      </c>
      <c r="E873">
        <v>0</v>
      </c>
      <c r="F873">
        <v>38.85</v>
      </c>
      <c r="G873">
        <v>39.08</v>
      </c>
      <c r="H873">
        <v>38.71</v>
      </c>
      <c r="I873">
        <v>38.97</v>
      </c>
      <c r="J873">
        <v>4486407</v>
      </c>
      <c r="K873">
        <v>0</v>
      </c>
      <c r="L873">
        <f t="shared" si="14"/>
        <v>0</v>
      </c>
      <c r="M873">
        <f>+IF(DailyData[[#This Row],[Column1]]&gt;0,DailyData[[#This Row],[Column1]]-L860,0)</f>
        <v>0</v>
      </c>
      <c r="N873" s="1">
        <f>+IF(DailyData[[#This Row],[Column2]]=0,0,DailyData[[#This Row],[Date]])</f>
        <v>0</v>
      </c>
    </row>
    <row r="874" spans="3:14" x14ac:dyDescent="0.25">
      <c r="C874" s="1">
        <v>45930</v>
      </c>
      <c r="D874" s="2" t="s">
        <v>21</v>
      </c>
      <c r="E874">
        <v>1288</v>
      </c>
      <c r="F874">
        <v>23</v>
      </c>
      <c r="G874">
        <v>23.03</v>
      </c>
      <c r="H874">
        <v>22.85</v>
      </c>
      <c r="I874">
        <v>23.03</v>
      </c>
      <c r="J874">
        <v>6101261</v>
      </c>
      <c r="K874">
        <v>29662.639999999999</v>
      </c>
      <c r="L874">
        <f t="shared" si="14"/>
        <v>1065252.3800000001</v>
      </c>
      <c r="M874">
        <f>+IF(DailyData[[#This Row],[Column1]]&gt;0,DailyData[[#This Row],[Column1]]-L861,0)</f>
        <v>6870.5900000003166</v>
      </c>
      <c r="N874" s="1">
        <f>+IF(DailyData[[#This Row],[Column2]]=0,0,DailyData[[#This Row],[Date]])</f>
        <v>45930</v>
      </c>
    </row>
    <row r="875" spans="3:14" x14ac:dyDescent="0.25">
      <c r="C875" s="1">
        <v>45931</v>
      </c>
      <c r="D875" s="2" t="s">
        <v>9</v>
      </c>
      <c r="E875">
        <v>153181</v>
      </c>
      <c r="F875">
        <v>1.1499999999999999</v>
      </c>
      <c r="G875">
        <v>1.19</v>
      </c>
      <c r="H875">
        <v>1.1299999999999999</v>
      </c>
      <c r="I875">
        <v>1.1599999999999999</v>
      </c>
      <c r="J875">
        <v>43868837</v>
      </c>
      <c r="K875">
        <v>177689.95</v>
      </c>
      <c r="L875">
        <f t="shared" si="14"/>
        <v>0</v>
      </c>
      <c r="M875">
        <f>+IF(DailyData[[#This Row],[Column1]]&gt;0,DailyData[[#This Row],[Column1]]-L862,0)</f>
        <v>0</v>
      </c>
      <c r="N875" s="1">
        <f>+IF(DailyData[[#This Row],[Column2]]=0,0,DailyData[[#This Row],[Date]])</f>
        <v>0</v>
      </c>
    </row>
    <row r="876" spans="3:14" x14ac:dyDescent="0.25">
      <c r="C876" s="1">
        <v>45931</v>
      </c>
      <c r="D876" s="2" t="s">
        <v>10</v>
      </c>
      <c r="E876">
        <v>70000</v>
      </c>
      <c r="F876">
        <v>1.64</v>
      </c>
      <c r="G876">
        <v>1.675</v>
      </c>
      <c r="H876">
        <v>1.64</v>
      </c>
      <c r="I876">
        <v>1.66</v>
      </c>
      <c r="J876">
        <v>3569379</v>
      </c>
      <c r="K876">
        <v>116200</v>
      </c>
      <c r="L876">
        <f t="shared" si="14"/>
        <v>0</v>
      </c>
      <c r="M876">
        <f>+IF(DailyData[[#This Row],[Column1]]&gt;0,DailyData[[#This Row],[Column1]]-L863,0)</f>
        <v>0</v>
      </c>
      <c r="N876" s="1">
        <f>+IF(DailyData[[#This Row],[Column2]]=0,0,DailyData[[#This Row],[Date]])</f>
        <v>0</v>
      </c>
    </row>
    <row r="877" spans="3:14" x14ac:dyDescent="0.25">
      <c r="C877" s="1">
        <v>45931</v>
      </c>
      <c r="D877" s="2" t="s">
        <v>11</v>
      </c>
      <c r="E877">
        <v>57458</v>
      </c>
      <c r="F877">
        <v>0.58499999999999996</v>
      </c>
      <c r="G877">
        <v>0.59</v>
      </c>
      <c r="H877">
        <v>0.56999999999999995</v>
      </c>
      <c r="I877">
        <v>0.57999999999999996</v>
      </c>
      <c r="J877">
        <v>317172</v>
      </c>
      <c r="K877">
        <v>33325.64</v>
      </c>
      <c r="L877">
        <f t="shared" si="14"/>
        <v>0</v>
      </c>
      <c r="M877">
        <f>+IF(DailyData[[#This Row],[Column1]]&gt;0,DailyData[[#This Row],[Column1]]-L864,0)</f>
        <v>0</v>
      </c>
      <c r="N877" s="1">
        <f>+IF(DailyData[[#This Row],[Column2]]=0,0,DailyData[[#This Row],[Date]])</f>
        <v>0</v>
      </c>
    </row>
    <row r="878" spans="3:14" x14ac:dyDescent="0.25">
      <c r="C878" s="1">
        <v>45931</v>
      </c>
      <c r="D878" s="2" t="s">
        <v>12</v>
      </c>
      <c r="E878">
        <v>16361</v>
      </c>
      <c r="F878">
        <v>42.05</v>
      </c>
      <c r="G878">
        <v>42.12</v>
      </c>
      <c r="H878">
        <v>41.42</v>
      </c>
      <c r="I878">
        <v>41.47</v>
      </c>
      <c r="J878">
        <v>11041231</v>
      </c>
      <c r="K878">
        <v>678490.69</v>
      </c>
      <c r="L878">
        <f t="shared" si="14"/>
        <v>0</v>
      </c>
      <c r="M878">
        <f>+IF(DailyData[[#This Row],[Column1]]&gt;0,DailyData[[#This Row],[Column1]]-L865,0)</f>
        <v>0</v>
      </c>
      <c r="N878" s="1">
        <f>+IF(DailyData[[#This Row],[Column2]]=0,0,DailyData[[#This Row],[Date]])</f>
        <v>0</v>
      </c>
    </row>
    <row r="879" spans="3:14" x14ac:dyDescent="0.25">
      <c r="C879" s="1">
        <v>45931</v>
      </c>
      <c r="D879" s="2" t="s">
        <v>13</v>
      </c>
      <c r="E879">
        <v>44090</v>
      </c>
      <c r="F879">
        <v>1.6E-2</v>
      </c>
      <c r="G879">
        <v>1.6E-2</v>
      </c>
      <c r="H879">
        <v>1.4999999999999999E-2</v>
      </c>
      <c r="I879">
        <v>1.4999999999999999E-2</v>
      </c>
      <c r="J879">
        <v>4765676</v>
      </c>
      <c r="K879">
        <v>661.35</v>
      </c>
      <c r="L879">
        <f t="shared" si="14"/>
        <v>0</v>
      </c>
      <c r="M879">
        <f>+IF(DailyData[[#This Row],[Column1]]&gt;0,DailyData[[#This Row],[Column1]]-L866,0)</f>
        <v>0</v>
      </c>
      <c r="N879" s="1">
        <f>+IF(DailyData[[#This Row],[Column2]]=0,0,DailyData[[#This Row],[Date]])</f>
        <v>0</v>
      </c>
    </row>
    <row r="880" spans="3:14" x14ac:dyDescent="0.25">
      <c r="C880" s="1">
        <v>45931</v>
      </c>
      <c r="D880" s="2" t="s">
        <v>14</v>
      </c>
      <c r="E880">
        <v>0</v>
      </c>
      <c r="F880">
        <v>166.52</v>
      </c>
      <c r="G880">
        <v>167.83500000000001</v>
      </c>
      <c r="H880">
        <v>165.125</v>
      </c>
      <c r="I880">
        <v>167.06</v>
      </c>
      <c r="J880">
        <v>1720182</v>
      </c>
      <c r="K880">
        <v>0</v>
      </c>
      <c r="L880">
        <f t="shared" si="14"/>
        <v>0</v>
      </c>
      <c r="M880">
        <f>+IF(DailyData[[#This Row],[Column1]]&gt;0,DailyData[[#This Row],[Column1]]-L867,0)</f>
        <v>0</v>
      </c>
      <c r="N880" s="1">
        <f>+IF(DailyData[[#This Row],[Column2]]=0,0,DailyData[[#This Row],[Date]])</f>
        <v>0</v>
      </c>
    </row>
    <row r="881" spans="3:14" x14ac:dyDescent="0.25">
      <c r="C881" s="1">
        <v>45931</v>
      </c>
      <c r="D881" s="2" t="s">
        <v>15</v>
      </c>
      <c r="E881">
        <v>10000</v>
      </c>
      <c r="F881">
        <v>0.35</v>
      </c>
      <c r="G881">
        <v>0.35</v>
      </c>
      <c r="H881">
        <v>0.33500000000000002</v>
      </c>
      <c r="I881">
        <v>0.33500000000000002</v>
      </c>
      <c r="J881">
        <v>1039649</v>
      </c>
      <c r="K881">
        <v>3350</v>
      </c>
      <c r="L881">
        <f t="shared" si="14"/>
        <v>0</v>
      </c>
      <c r="M881">
        <f>+IF(DailyData[[#This Row],[Column1]]&gt;0,DailyData[[#This Row],[Column1]]-L868,0)</f>
        <v>0</v>
      </c>
      <c r="N881" s="1">
        <f>+IF(DailyData[[#This Row],[Column2]]=0,0,DailyData[[#This Row],[Date]])</f>
        <v>0</v>
      </c>
    </row>
    <row r="882" spans="3:14" x14ac:dyDescent="0.25">
      <c r="C882" s="1">
        <v>45931</v>
      </c>
      <c r="D882" s="2" t="s">
        <v>16</v>
      </c>
      <c r="E882">
        <v>20000</v>
      </c>
      <c r="F882">
        <v>0.28499999999999998</v>
      </c>
      <c r="G882">
        <v>0.28499999999999998</v>
      </c>
      <c r="H882">
        <v>0.26</v>
      </c>
      <c r="I882">
        <v>0.26500000000000001</v>
      </c>
      <c r="J882">
        <v>263942</v>
      </c>
      <c r="K882">
        <v>5300</v>
      </c>
      <c r="L882">
        <f t="shared" si="14"/>
        <v>0</v>
      </c>
      <c r="M882">
        <f>+IF(DailyData[[#This Row],[Column1]]&gt;0,DailyData[[#This Row],[Column1]]-L869,0)</f>
        <v>0</v>
      </c>
      <c r="N882" s="1">
        <f>+IF(DailyData[[#This Row],[Column2]]=0,0,DailyData[[#This Row],[Date]])</f>
        <v>0</v>
      </c>
    </row>
    <row r="883" spans="3:14" x14ac:dyDescent="0.25">
      <c r="C883" s="1">
        <v>45931</v>
      </c>
      <c r="D883" s="2" t="s">
        <v>17</v>
      </c>
      <c r="E883">
        <v>700000</v>
      </c>
      <c r="F883">
        <v>3.0000000000000001E-3</v>
      </c>
      <c r="G883">
        <v>3.0000000000000001E-3</v>
      </c>
      <c r="H883">
        <v>2E-3</v>
      </c>
      <c r="I883">
        <v>2E-3</v>
      </c>
      <c r="J883">
        <v>117215</v>
      </c>
      <c r="K883">
        <v>1750</v>
      </c>
      <c r="L883">
        <f t="shared" si="14"/>
        <v>0</v>
      </c>
      <c r="M883">
        <f>+IF(DailyData[[#This Row],[Column1]]&gt;0,DailyData[[#This Row],[Column1]]-L870,0)</f>
        <v>0</v>
      </c>
      <c r="N883" s="1">
        <f>+IF(DailyData[[#This Row],[Column2]]=0,0,DailyData[[#This Row],[Date]])</f>
        <v>0</v>
      </c>
    </row>
    <row r="884" spans="3:14" x14ac:dyDescent="0.25">
      <c r="C884" s="1">
        <v>45931</v>
      </c>
      <c r="D884" s="2" t="s">
        <v>18</v>
      </c>
      <c r="E884">
        <v>9412</v>
      </c>
      <c r="F884">
        <v>0.31</v>
      </c>
      <c r="G884">
        <v>0.33</v>
      </c>
      <c r="H884">
        <v>0.28999999999999998</v>
      </c>
      <c r="I884">
        <v>0.31</v>
      </c>
      <c r="J884">
        <v>790865</v>
      </c>
      <c r="K884">
        <v>2917.72</v>
      </c>
      <c r="L884">
        <f t="shared" si="14"/>
        <v>0</v>
      </c>
      <c r="M884">
        <f>+IF(DailyData[[#This Row],[Column1]]&gt;0,DailyData[[#This Row],[Column1]]-L871,0)</f>
        <v>0</v>
      </c>
      <c r="N884" s="1">
        <f>+IF(DailyData[[#This Row],[Column2]]=0,0,DailyData[[#This Row],[Date]])</f>
        <v>0</v>
      </c>
    </row>
    <row r="885" spans="3:14" x14ac:dyDescent="0.25">
      <c r="C885" s="1">
        <v>45931</v>
      </c>
      <c r="D885" s="2" t="s">
        <v>19</v>
      </c>
      <c r="E885">
        <v>6000</v>
      </c>
      <c r="F885">
        <v>0.215</v>
      </c>
      <c r="G885">
        <v>0.22</v>
      </c>
      <c r="H885">
        <v>0.20499999999999999</v>
      </c>
      <c r="I885">
        <v>0.21</v>
      </c>
      <c r="J885">
        <v>231480</v>
      </c>
      <c r="K885">
        <v>1260</v>
      </c>
      <c r="L885">
        <f t="shared" si="14"/>
        <v>0</v>
      </c>
      <c r="M885">
        <f>+IF(DailyData[[#This Row],[Column1]]&gt;0,DailyData[[#This Row],[Column1]]-L872,0)</f>
        <v>0</v>
      </c>
      <c r="N885" s="1">
        <f>+IF(DailyData[[#This Row],[Column2]]=0,0,DailyData[[#This Row],[Date]])</f>
        <v>0</v>
      </c>
    </row>
    <row r="886" spans="3:14" x14ac:dyDescent="0.25">
      <c r="C886" s="1">
        <v>45931</v>
      </c>
      <c r="D886" s="2" t="s">
        <v>20</v>
      </c>
      <c r="E886">
        <v>0</v>
      </c>
      <c r="F886">
        <v>38.79</v>
      </c>
      <c r="G886">
        <v>39.020000000000003</v>
      </c>
      <c r="H886">
        <v>38.36</v>
      </c>
      <c r="I886">
        <v>38.74</v>
      </c>
      <c r="J886">
        <v>3774654</v>
      </c>
      <c r="K886">
        <v>0</v>
      </c>
      <c r="L886">
        <f t="shared" si="14"/>
        <v>0</v>
      </c>
      <c r="M886">
        <f>+IF(DailyData[[#This Row],[Column1]]&gt;0,DailyData[[#This Row],[Column1]]-L873,0)</f>
        <v>0</v>
      </c>
      <c r="N886" s="1">
        <f>+IF(DailyData[[#This Row],[Column2]]=0,0,DailyData[[#This Row],[Date]])</f>
        <v>0</v>
      </c>
    </row>
    <row r="887" spans="3:14" x14ac:dyDescent="0.25">
      <c r="C887" s="1">
        <v>45931</v>
      </c>
      <c r="D887" s="2" t="s">
        <v>21</v>
      </c>
      <c r="E887">
        <v>1288</v>
      </c>
      <c r="F887">
        <v>22.81</v>
      </c>
      <c r="G887">
        <v>22.91</v>
      </c>
      <c r="H887">
        <v>22.68</v>
      </c>
      <c r="I887">
        <v>22.85</v>
      </c>
      <c r="J887">
        <v>4909179</v>
      </c>
      <c r="K887">
        <v>29430.799999999999</v>
      </c>
      <c r="L887">
        <f t="shared" si="14"/>
        <v>1050376.1499999999</v>
      </c>
      <c r="M887">
        <f>+IF(DailyData[[#This Row],[Column1]]&gt;0,DailyData[[#This Row],[Column1]]-L874,0)</f>
        <v>-14876.230000000214</v>
      </c>
      <c r="N887" s="1">
        <f>+IF(DailyData[[#This Row],[Column2]]=0,0,DailyData[[#This Row],[Date]])</f>
        <v>45931</v>
      </c>
    </row>
    <row r="888" spans="3:14" x14ac:dyDescent="0.25">
      <c r="C888" s="1">
        <v>45932</v>
      </c>
      <c r="D888" s="2" t="s">
        <v>9</v>
      </c>
      <c r="E888">
        <v>153181</v>
      </c>
      <c r="F888">
        <v>1.1599999999999999</v>
      </c>
      <c r="G888">
        <v>1.2050000000000001</v>
      </c>
      <c r="H888">
        <v>1.1499999999999999</v>
      </c>
      <c r="I888">
        <v>1.19</v>
      </c>
      <c r="J888">
        <v>9682180</v>
      </c>
      <c r="K888">
        <v>182285.4</v>
      </c>
      <c r="L888">
        <f t="shared" si="14"/>
        <v>0</v>
      </c>
      <c r="M888">
        <f>+IF(DailyData[[#This Row],[Column1]]&gt;0,DailyData[[#This Row],[Column1]]-L875,0)</f>
        <v>0</v>
      </c>
      <c r="N888" s="1">
        <f>+IF(DailyData[[#This Row],[Column2]]=0,0,DailyData[[#This Row],[Date]])</f>
        <v>0</v>
      </c>
    </row>
    <row r="889" spans="3:14" x14ac:dyDescent="0.25">
      <c r="C889" s="1">
        <v>45932</v>
      </c>
      <c r="D889" s="2" t="s">
        <v>10</v>
      </c>
      <c r="E889">
        <v>70000</v>
      </c>
      <c r="F889">
        <v>1.665</v>
      </c>
      <c r="G889">
        <v>1.69</v>
      </c>
      <c r="H889">
        <v>1.66</v>
      </c>
      <c r="I889">
        <v>1.68</v>
      </c>
      <c r="J889">
        <v>3378906</v>
      </c>
      <c r="K889">
        <v>117600</v>
      </c>
      <c r="L889">
        <f t="shared" si="14"/>
        <v>0</v>
      </c>
      <c r="M889">
        <f>+IF(DailyData[[#This Row],[Column1]]&gt;0,DailyData[[#This Row],[Column1]]-L876,0)</f>
        <v>0</v>
      </c>
      <c r="N889" s="1">
        <f>+IF(DailyData[[#This Row],[Column2]]=0,0,DailyData[[#This Row],[Date]])</f>
        <v>0</v>
      </c>
    </row>
    <row r="890" spans="3:14" x14ac:dyDescent="0.25">
      <c r="C890" s="1">
        <v>45932</v>
      </c>
      <c r="D890" s="2" t="s">
        <v>11</v>
      </c>
      <c r="E890">
        <v>57458</v>
      </c>
      <c r="F890">
        <v>0.57999999999999996</v>
      </c>
      <c r="G890">
        <v>0.59499999999999997</v>
      </c>
      <c r="H890">
        <v>0.56999999999999995</v>
      </c>
      <c r="I890">
        <v>0.57999999999999996</v>
      </c>
      <c r="J890">
        <v>395481</v>
      </c>
      <c r="K890">
        <v>33325.64</v>
      </c>
      <c r="L890">
        <f t="shared" si="14"/>
        <v>0</v>
      </c>
      <c r="M890">
        <f>+IF(DailyData[[#This Row],[Column1]]&gt;0,DailyData[[#This Row],[Column1]]-L877,0)</f>
        <v>0</v>
      </c>
      <c r="N890" s="1">
        <f>+IF(DailyData[[#This Row],[Column2]]=0,0,DailyData[[#This Row],[Date]])</f>
        <v>0</v>
      </c>
    </row>
    <row r="891" spans="3:14" x14ac:dyDescent="0.25">
      <c r="C891" s="1">
        <v>45932</v>
      </c>
      <c r="D891" s="2" t="s">
        <v>12</v>
      </c>
      <c r="E891">
        <v>16361</v>
      </c>
      <c r="F891">
        <v>41.9</v>
      </c>
      <c r="G891">
        <v>42.335000000000001</v>
      </c>
      <c r="H891">
        <v>41.84</v>
      </c>
      <c r="I891">
        <v>41.94</v>
      </c>
      <c r="J891">
        <v>7075579</v>
      </c>
      <c r="K891">
        <v>686180.32</v>
      </c>
      <c r="L891">
        <f t="shared" si="14"/>
        <v>0</v>
      </c>
      <c r="M891">
        <f>+IF(DailyData[[#This Row],[Column1]]&gt;0,DailyData[[#This Row],[Column1]]-L878,0)</f>
        <v>0</v>
      </c>
      <c r="N891" s="1">
        <f>+IF(DailyData[[#This Row],[Column2]]=0,0,DailyData[[#This Row],[Date]])</f>
        <v>0</v>
      </c>
    </row>
    <row r="892" spans="3:14" x14ac:dyDescent="0.25">
      <c r="C892" s="1">
        <v>45932</v>
      </c>
      <c r="D892" s="2" t="s">
        <v>13</v>
      </c>
      <c r="E892">
        <v>44090</v>
      </c>
      <c r="F892">
        <v>1.6E-2</v>
      </c>
      <c r="G892">
        <v>1.6E-2</v>
      </c>
      <c r="H892">
        <v>1.4E-2</v>
      </c>
      <c r="I892">
        <v>1.4E-2</v>
      </c>
      <c r="J892">
        <v>2060768</v>
      </c>
      <c r="K892">
        <v>617.26</v>
      </c>
      <c r="L892">
        <f t="shared" si="14"/>
        <v>0</v>
      </c>
      <c r="M892">
        <f>+IF(DailyData[[#This Row],[Column1]]&gt;0,DailyData[[#This Row],[Column1]]-L879,0)</f>
        <v>0</v>
      </c>
      <c r="N892" s="1">
        <f>+IF(DailyData[[#This Row],[Column2]]=0,0,DailyData[[#This Row],[Date]])</f>
        <v>0</v>
      </c>
    </row>
    <row r="893" spans="3:14" x14ac:dyDescent="0.25">
      <c r="C893" s="1">
        <v>45932</v>
      </c>
      <c r="D893" s="2" t="s">
        <v>14</v>
      </c>
      <c r="E893">
        <v>0</v>
      </c>
      <c r="F893">
        <v>167.64</v>
      </c>
      <c r="G893">
        <v>170.95</v>
      </c>
      <c r="H893">
        <v>167.4</v>
      </c>
      <c r="I893">
        <v>169.82</v>
      </c>
      <c r="J893">
        <v>1995544</v>
      </c>
      <c r="K893">
        <v>0</v>
      </c>
      <c r="L893">
        <f t="shared" si="14"/>
        <v>0</v>
      </c>
      <c r="M893">
        <f>+IF(DailyData[[#This Row],[Column1]]&gt;0,DailyData[[#This Row],[Column1]]-L880,0)</f>
        <v>0</v>
      </c>
      <c r="N893" s="1">
        <f>+IF(DailyData[[#This Row],[Column2]]=0,0,DailyData[[#This Row],[Date]])</f>
        <v>0</v>
      </c>
    </row>
    <row r="894" spans="3:14" x14ac:dyDescent="0.25">
      <c r="C894" s="1">
        <v>45932</v>
      </c>
      <c r="D894" s="2" t="s">
        <v>15</v>
      </c>
      <c r="E894">
        <v>10000</v>
      </c>
      <c r="F894">
        <v>0.33500000000000002</v>
      </c>
      <c r="G894">
        <v>0.43</v>
      </c>
      <c r="H894">
        <v>0.33500000000000002</v>
      </c>
      <c r="I894">
        <v>0.42</v>
      </c>
      <c r="J894">
        <v>2068775</v>
      </c>
      <c r="K894">
        <v>4200</v>
      </c>
      <c r="L894">
        <f t="shared" si="14"/>
        <v>0</v>
      </c>
      <c r="M894">
        <f>+IF(DailyData[[#This Row],[Column1]]&gt;0,DailyData[[#This Row],[Column1]]-L881,0)</f>
        <v>0</v>
      </c>
      <c r="N894" s="1">
        <f>+IF(DailyData[[#This Row],[Column2]]=0,0,DailyData[[#This Row],[Date]])</f>
        <v>0</v>
      </c>
    </row>
    <row r="895" spans="3:14" x14ac:dyDescent="0.25">
      <c r="C895" s="1">
        <v>45932</v>
      </c>
      <c r="D895" s="2" t="s">
        <v>16</v>
      </c>
      <c r="E895">
        <v>20000</v>
      </c>
      <c r="F895">
        <v>0.27</v>
      </c>
      <c r="G895">
        <v>0.27</v>
      </c>
      <c r="H895">
        <v>0.26</v>
      </c>
      <c r="I895">
        <v>0.26500000000000001</v>
      </c>
      <c r="J895">
        <v>217862</v>
      </c>
      <c r="K895">
        <v>5300</v>
      </c>
      <c r="L895">
        <f t="shared" si="14"/>
        <v>0</v>
      </c>
      <c r="M895">
        <f>+IF(DailyData[[#This Row],[Column1]]&gt;0,DailyData[[#This Row],[Column1]]-L882,0)</f>
        <v>0</v>
      </c>
      <c r="N895" s="1">
        <f>+IF(DailyData[[#This Row],[Column2]]=0,0,DailyData[[#This Row],[Date]])</f>
        <v>0</v>
      </c>
    </row>
    <row r="896" spans="3:14" x14ac:dyDescent="0.25">
      <c r="C896" s="1">
        <v>45932</v>
      </c>
      <c r="D896" s="2" t="s">
        <v>17</v>
      </c>
      <c r="E896">
        <v>700000</v>
      </c>
      <c r="F896">
        <v>2E-3</v>
      </c>
      <c r="G896">
        <v>2E-3</v>
      </c>
      <c r="H896">
        <v>2E-3</v>
      </c>
      <c r="I896">
        <v>2E-3</v>
      </c>
      <c r="J896">
        <v>394204</v>
      </c>
      <c r="K896">
        <v>1750</v>
      </c>
      <c r="L896">
        <f t="shared" si="14"/>
        <v>0</v>
      </c>
      <c r="M896">
        <f>+IF(DailyData[[#This Row],[Column1]]&gt;0,DailyData[[#This Row],[Column1]]-L883,0)</f>
        <v>0</v>
      </c>
      <c r="N896" s="1">
        <f>+IF(DailyData[[#This Row],[Column2]]=0,0,DailyData[[#This Row],[Date]])</f>
        <v>0</v>
      </c>
    </row>
    <row r="897" spans="3:14" x14ac:dyDescent="0.25">
      <c r="C897" s="1">
        <v>45932</v>
      </c>
      <c r="D897" s="2" t="s">
        <v>18</v>
      </c>
      <c r="E897">
        <v>9412</v>
      </c>
      <c r="F897">
        <v>0.32</v>
      </c>
      <c r="G897">
        <v>0.32</v>
      </c>
      <c r="H897">
        <v>0.29499999999999998</v>
      </c>
      <c r="I897">
        <v>0.31</v>
      </c>
      <c r="J897">
        <v>330842</v>
      </c>
      <c r="K897">
        <v>2917.72</v>
      </c>
      <c r="L897">
        <f t="shared" si="14"/>
        <v>0</v>
      </c>
      <c r="M897">
        <f>+IF(DailyData[[#This Row],[Column1]]&gt;0,DailyData[[#This Row],[Column1]]-L884,0)</f>
        <v>0</v>
      </c>
      <c r="N897" s="1">
        <f>+IF(DailyData[[#This Row],[Column2]]=0,0,DailyData[[#This Row],[Date]])</f>
        <v>0</v>
      </c>
    </row>
    <row r="898" spans="3:14" x14ac:dyDescent="0.25">
      <c r="C898" s="1">
        <v>45932</v>
      </c>
      <c r="D898" s="2" t="s">
        <v>19</v>
      </c>
      <c r="E898">
        <v>6000</v>
      </c>
      <c r="F898">
        <v>0.21</v>
      </c>
      <c r="G898">
        <v>0.21</v>
      </c>
      <c r="H898">
        <v>0.19500000000000001</v>
      </c>
      <c r="I898">
        <v>0.2</v>
      </c>
      <c r="J898">
        <v>176535</v>
      </c>
      <c r="K898">
        <v>1200</v>
      </c>
      <c r="L898">
        <f t="shared" si="14"/>
        <v>0</v>
      </c>
      <c r="M898">
        <f>+IF(DailyData[[#This Row],[Column1]]&gt;0,DailyData[[#This Row],[Column1]]-L885,0)</f>
        <v>0</v>
      </c>
      <c r="N898" s="1">
        <f>+IF(DailyData[[#This Row],[Column2]]=0,0,DailyData[[#This Row],[Date]])</f>
        <v>0</v>
      </c>
    </row>
    <row r="899" spans="3:14" x14ac:dyDescent="0.25">
      <c r="C899" s="1">
        <v>45932</v>
      </c>
      <c r="D899" s="2" t="s">
        <v>20</v>
      </c>
      <c r="E899">
        <v>0</v>
      </c>
      <c r="F899">
        <v>38.979999999999997</v>
      </c>
      <c r="G899">
        <v>39.35</v>
      </c>
      <c r="H899">
        <v>38.85</v>
      </c>
      <c r="I899">
        <v>39.19</v>
      </c>
      <c r="J899">
        <v>3629660</v>
      </c>
      <c r="K899">
        <v>0</v>
      </c>
      <c r="L899">
        <f t="shared" si="14"/>
        <v>0</v>
      </c>
      <c r="M899">
        <f>+IF(DailyData[[#This Row],[Column1]]&gt;0,DailyData[[#This Row],[Column1]]-L886,0)</f>
        <v>0</v>
      </c>
      <c r="N899" s="1">
        <f>+IF(DailyData[[#This Row],[Column2]]=0,0,DailyData[[#This Row],[Date]])</f>
        <v>0</v>
      </c>
    </row>
    <row r="900" spans="3:14" x14ac:dyDescent="0.25">
      <c r="C900" s="1">
        <v>45932</v>
      </c>
      <c r="D900" s="2" t="s">
        <v>21</v>
      </c>
      <c r="E900">
        <v>1288</v>
      </c>
      <c r="F900">
        <v>22.98</v>
      </c>
      <c r="G900">
        <v>23.1</v>
      </c>
      <c r="H900">
        <v>22.82</v>
      </c>
      <c r="I900">
        <v>23.01</v>
      </c>
      <c r="J900">
        <v>4019973</v>
      </c>
      <c r="K900">
        <v>29636.880000000001</v>
      </c>
      <c r="L900">
        <f t="shared" si="14"/>
        <v>1065013.22</v>
      </c>
      <c r="M900">
        <f>+IF(DailyData[[#This Row],[Column1]]&gt;0,DailyData[[#This Row],[Column1]]-L887,0)</f>
        <v>14637.070000000065</v>
      </c>
      <c r="N900" s="1">
        <f>+IF(DailyData[[#This Row],[Column2]]=0,0,DailyData[[#This Row],[Date]])</f>
        <v>45932</v>
      </c>
    </row>
    <row r="901" spans="3:14" x14ac:dyDescent="0.25">
      <c r="C901" s="1">
        <v>45933</v>
      </c>
      <c r="D901" s="2" t="s">
        <v>9</v>
      </c>
      <c r="E901">
        <v>153181</v>
      </c>
      <c r="F901">
        <v>1.17</v>
      </c>
      <c r="G901">
        <v>1.1779999999999999</v>
      </c>
      <c r="H901">
        <v>1.135</v>
      </c>
      <c r="I901">
        <v>1.155</v>
      </c>
      <c r="J901">
        <v>7758174</v>
      </c>
      <c r="K901">
        <v>176924.05</v>
      </c>
      <c r="L901">
        <f t="shared" si="14"/>
        <v>0</v>
      </c>
      <c r="M901">
        <f>+IF(DailyData[[#This Row],[Column1]]&gt;0,DailyData[[#This Row],[Column1]]-L888,0)</f>
        <v>0</v>
      </c>
      <c r="N901" s="1">
        <f>+IF(DailyData[[#This Row],[Column2]]=0,0,DailyData[[#This Row],[Date]])</f>
        <v>0</v>
      </c>
    </row>
    <row r="902" spans="3:14" x14ac:dyDescent="0.25">
      <c r="C902" s="1">
        <v>45933</v>
      </c>
      <c r="D902" s="2" t="s">
        <v>10</v>
      </c>
      <c r="E902">
        <v>70000</v>
      </c>
      <c r="F902">
        <v>1.67</v>
      </c>
      <c r="G902">
        <v>1.7070000000000001</v>
      </c>
      <c r="H902">
        <v>1.67</v>
      </c>
      <c r="I902">
        <v>1.69</v>
      </c>
      <c r="J902">
        <v>6324955</v>
      </c>
      <c r="K902">
        <v>118300</v>
      </c>
      <c r="L902">
        <f t="shared" si="14"/>
        <v>0</v>
      </c>
      <c r="M902">
        <f>+IF(DailyData[[#This Row],[Column1]]&gt;0,DailyData[[#This Row],[Column1]]-L889,0)</f>
        <v>0</v>
      </c>
      <c r="N902" s="1">
        <f>+IF(DailyData[[#This Row],[Column2]]=0,0,DailyData[[#This Row],[Date]])</f>
        <v>0</v>
      </c>
    </row>
    <row r="903" spans="3:14" x14ac:dyDescent="0.25">
      <c r="C903" s="1">
        <v>45933</v>
      </c>
      <c r="D903" s="2" t="s">
        <v>11</v>
      </c>
      <c r="E903">
        <v>57458</v>
      </c>
      <c r="F903">
        <v>0.6</v>
      </c>
      <c r="G903">
        <v>0.66300000000000003</v>
      </c>
      <c r="H903">
        <v>0.59499999999999997</v>
      </c>
      <c r="I903">
        <v>0.65</v>
      </c>
      <c r="J903">
        <v>2072726</v>
      </c>
      <c r="K903">
        <v>37347.699999999997</v>
      </c>
      <c r="L903">
        <f t="shared" si="14"/>
        <v>0</v>
      </c>
      <c r="M903">
        <f>+IF(DailyData[[#This Row],[Column1]]&gt;0,DailyData[[#This Row],[Column1]]-L890,0)</f>
        <v>0</v>
      </c>
      <c r="N903" s="1">
        <f>+IF(DailyData[[#This Row],[Column2]]=0,0,DailyData[[#This Row],[Date]])</f>
        <v>0</v>
      </c>
    </row>
    <row r="904" spans="3:14" x14ac:dyDescent="0.25">
      <c r="C904" s="1">
        <v>45933</v>
      </c>
      <c r="D904" s="2" t="s">
        <v>12</v>
      </c>
      <c r="E904">
        <v>16361</v>
      </c>
      <c r="F904">
        <v>41.9</v>
      </c>
      <c r="G904">
        <v>42.2</v>
      </c>
      <c r="H904">
        <v>41.795000000000002</v>
      </c>
      <c r="I904">
        <v>42.08</v>
      </c>
      <c r="J904">
        <v>4996434</v>
      </c>
      <c r="K904">
        <v>688470.91</v>
      </c>
      <c r="L904">
        <f t="shared" si="14"/>
        <v>0</v>
      </c>
      <c r="M904">
        <f>+IF(DailyData[[#This Row],[Column1]]&gt;0,DailyData[[#This Row],[Column1]]-L891,0)</f>
        <v>0</v>
      </c>
      <c r="N904" s="1">
        <f>+IF(DailyData[[#This Row],[Column2]]=0,0,DailyData[[#This Row],[Date]])</f>
        <v>0</v>
      </c>
    </row>
    <row r="905" spans="3:14" x14ac:dyDescent="0.25">
      <c r="C905" s="1">
        <v>45933</v>
      </c>
      <c r="D905" s="2" t="s">
        <v>13</v>
      </c>
      <c r="E905">
        <v>44090</v>
      </c>
      <c r="F905">
        <v>1.4E-2</v>
      </c>
      <c r="G905">
        <v>1.4999999999999999E-2</v>
      </c>
      <c r="H905">
        <v>1.2999999999999999E-2</v>
      </c>
      <c r="I905">
        <v>1.4E-2</v>
      </c>
      <c r="J905">
        <v>1962138</v>
      </c>
      <c r="K905">
        <v>617.26</v>
      </c>
      <c r="L905">
        <f t="shared" si="14"/>
        <v>0</v>
      </c>
      <c r="M905">
        <f>+IF(DailyData[[#This Row],[Column1]]&gt;0,DailyData[[#This Row],[Column1]]-L892,0)</f>
        <v>0</v>
      </c>
      <c r="N905" s="1">
        <f>+IF(DailyData[[#This Row],[Column2]]=0,0,DailyData[[#This Row],[Date]])</f>
        <v>0</v>
      </c>
    </row>
    <row r="906" spans="3:14" x14ac:dyDescent="0.25">
      <c r="C906" s="1">
        <v>45933</v>
      </c>
      <c r="D906" s="2" t="s">
        <v>14</v>
      </c>
      <c r="E906">
        <v>0</v>
      </c>
      <c r="F906">
        <v>168.75</v>
      </c>
      <c r="G906">
        <v>171</v>
      </c>
      <c r="H906">
        <v>168.5</v>
      </c>
      <c r="I906">
        <v>170.38</v>
      </c>
      <c r="J906">
        <v>1492004</v>
      </c>
      <c r="K906">
        <v>0</v>
      </c>
      <c r="L906">
        <f t="shared" si="14"/>
        <v>0</v>
      </c>
      <c r="M906">
        <f>+IF(DailyData[[#This Row],[Column1]]&gt;0,DailyData[[#This Row],[Column1]]-L893,0)</f>
        <v>0</v>
      </c>
      <c r="N906" s="1">
        <f>+IF(DailyData[[#This Row],[Column2]]=0,0,DailyData[[#This Row],[Date]])</f>
        <v>0</v>
      </c>
    </row>
    <row r="907" spans="3:14" x14ac:dyDescent="0.25">
      <c r="C907" s="1">
        <v>45933</v>
      </c>
      <c r="D907" s="2" t="s">
        <v>15</v>
      </c>
      <c r="E907">
        <v>10000</v>
      </c>
      <c r="F907">
        <v>0.41</v>
      </c>
      <c r="G907">
        <v>0.42</v>
      </c>
      <c r="H907">
        <v>0.37</v>
      </c>
      <c r="I907">
        <v>0.41</v>
      </c>
      <c r="J907">
        <v>1154099</v>
      </c>
      <c r="K907">
        <v>4100</v>
      </c>
      <c r="L907">
        <f t="shared" si="14"/>
        <v>0</v>
      </c>
      <c r="M907">
        <f>+IF(DailyData[[#This Row],[Column1]]&gt;0,DailyData[[#This Row],[Column1]]-L894,0)</f>
        <v>0</v>
      </c>
      <c r="N907" s="1">
        <f>+IF(DailyData[[#This Row],[Column2]]=0,0,DailyData[[#This Row],[Date]])</f>
        <v>0</v>
      </c>
    </row>
    <row r="908" spans="3:14" x14ac:dyDescent="0.25">
      <c r="C908" s="1">
        <v>45933</v>
      </c>
      <c r="D908" s="2" t="s">
        <v>16</v>
      </c>
      <c r="E908">
        <v>20000</v>
      </c>
      <c r="F908">
        <v>0.26500000000000001</v>
      </c>
      <c r="G908">
        <v>0.32</v>
      </c>
      <c r="H908">
        <v>0.26500000000000001</v>
      </c>
      <c r="I908">
        <v>0.32</v>
      </c>
      <c r="J908">
        <v>1238854</v>
      </c>
      <c r="K908">
        <v>6400</v>
      </c>
      <c r="L908">
        <f t="shared" si="14"/>
        <v>0</v>
      </c>
      <c r="M908">
        <f>+IF(DailyData[[#This Row],[Column1]]&gt;0,DailyData[[#This Row],[Column1]]-L895,0)</f>
        <v>0</v>
      </c>
      <c r="N908" s="1">
        <f>+IF(DailyData[[#This Row],[Column2]]=0,0,DailyData[[#This Row],[Date]])</f>
        <v>0</v>
      </c>
    </row>
    <row r="909" spans="3:14" x14ac:dyDescent="0.25">
      <c r="C909" s="1">
        <v>45933</v>
      </c>
      <c r="D909" s="2" t="s">
        <v>17</v>
      </c>
      <c r="E909">
        <v>700000</v>
      </c>
      <c r="F909">
        <v>2E-3</v>
      </c>
      <c r="G909">
        <v>2E-3</v>
      </c>
      <c r="H909">
        <v>2E-3</v>
      </c>
      <c r="I909">
        <v>2E-3</v>
      </c>
      <c r="J909">
        <v>1441116</v>
      </c>
      <c r="K909">
        <v>1400</v>
      </c>
      <c r="L909">
        <f t="shared" si="14"/>
        <v>0</v>
      </c>
      <c r="M909">
        <f>+IF(DailyData[[#This Row],[Column1]]&gt;0,DailyData[[#This Row],[Column1]]-L896,0)</f>
        <v>0</v>
      </c>
      <c r="N909" s="1">
        <f>+IF(DailyData[[#This Row],[Column2]]=0,0,DailyData[[#This Row],[Date]])</f>
        <v>0</v>
      </c>
    </row>
    <row r="910" spans="3:14" x14ac:dyDescent="0.25">
      <c r="C910" s="1">
        <v>45933</v>
      </c>
      <c r="D910" s="2" t="s">
        <v>18</v>
      </c>
      <c r="E910">
        <v>9412</v>
      </c>
      <c r="F910">
        <v>0.31</v>
      </c>
      <c r="G910">
        <v>0.31</v>
      </c>
      <c r="H910">
        <v>0.3</v>
      </c>
      <c r="I910">
        <v>0.3</v>
      </c>
      <c r="J910">
        <v>157572</v>
      </c>
      <c r="K910">
        <v>2823.6</v>
      </c>
      <c r="L910">
        <f t="shared" si="14"/>
        <v>0</v>
      </c>
      <c r="M910">
        <f>+IF(DailyData[[#This Row],[Column1]]&gt;0,DailyData[[#This Row],[Column1]]-L897,0)</f>
        <v>0</v>
      </c>
      <c r="N910" s="1">
        <f>+IF(DailyData[[#This Row],[Column2]]=0,0,DailyData[[#This Row],[Date]])</f>
        <v>0</v>
      </c>
    </row>
    <row r="911" spans="3:14" x14ac:dyDescent="0.25">
      <c r="C911" s="1">
        <v>45933</v>
      </c>
      <c r="D911" s="2" t="s">
        <v>19</v>
      </c>
      <c r="E911">
        <v>6000</v>
      </c>
      <c r="F911">
        <v>0.20499999999999999</v>
      </c>
      <c r="G911">
        <v>0.215</v>
      </c>
      <c r="H911">
        <v>0.2</v>
      </c>
      <c r="I911">
        <v>0.2</v>
      </c>
      <c r="J911">
        <v>142130</v>
      </c>
      <c r="K911">
        <v>1200</v>
      </c>
      <c r="L911">
        <f t="shared" si="14"/>
        <v>0</v>
      </c>
      <c r="M911">
        <f>+IF(DailyData[[#This Row],[Column1]]&gt;0,DailyData[[#This Row],[Column1]]-L898,0)</f>
        <v>0</v>
      </c>
      <c r="N911" s="1">
        <f>+IF(DailyData[[#This Row],[Column2]]=0,0,DailyData[[#This Row],[Date]])</f>
        <v>0</v>
      </c>
    </row>
    <row r="912" spans="3:14" x14ac:dyDescent="0.25">
      <c r="C912" s="1">
        <v>45933</v>
      </c>
      <c r="D912" s="2" t="s">
        <v>20</v>
      </c>
      <c r="E912">
        <v>0</v>
      </c>
      <c r="F912">
        <v>38.9</v>
      </c>
      <c r="G912">
        <v>39.409999999999997</v>
      </c>
      <c r="H912">
        <v>38.78</v>
      </c>
      <c r="I912">
        <v>39.31</v>
      </c>
      <c r="J912">
        <v>3268202</v>
      </c>
      <c r="K912">
        <v>0</v>
      </c>
      <c r="L912">
        <f t="shared" si="14"/>
        <v>0</v>
      </c>
      <c r="M912">
        <f>+IF(DailyData[[#This Row],[Column1]]&gt;0,DailyData[[#This Row],[Column1]]-L899,0)</f>
        <v>0</v>
      </c>
      <c r="N912" s="1">
        <f>+IF(DailyData[[#This Row],[Column2]]=0,0,DailyData[[#This Row],[Date]])</f>
        <v>0</v>
      </c>
    </row>
    <row r="913" spans="3:14" x14ac:dyDescent="0.25">
      <c r="C913" s="1">
        <v>45933</v>
      </c>
      <c r="D913" s="2" t="s">
        <v>21</v>
      </c>
      <c r="E913">
        <v>1288</v>
      </c>
      <c r="F913">
        <v>22.89</v>
      </c>
      <c r="G913">
        <v>23.12</v>
      </c>
      <c r="H913">
        <v>22.88</v>
      </c>
      <c r="I913">
        <v>23</v>
      </c>
      <c r="J913">
        <v>3695704</v>
      </c>
      <c r="K913">
        <v>29624</v>
      </c>
      <c r="L913">
        <f t="shared" ref="L913:L976" si="15">+IF(C914&lt;&gt;C913,SUM(K901:K913),0)</f>
        <v>1067207.52</v>
      </c>
      <c r="M913">
        <f>+IF(DailyData[[#This Row],[Column1]]&gt;0,DailyData[[#This Row],[Column1]]-L900,0)</f>
        <v>2194.3000000000466</v>
      </c>
      <c r="N913" s="1">
        <f>+IF(DailyData[[#This Row],[Column2]]=0,0,DailyData[[#This Row],[Date]])</f>
        <v>45933</v>
      </c>
    </row>
    <row r="914" spans="3:14" x14ac:dyDescent="0.25">
      <c r="C914" s="1">
        <v>45936</v>
      </c>
      <c r="D914" s="2" t="s">
        <v>9</v>
      </c>
      <c r="E914">
        <v>153181</v>
      </c>
      <c r="F914">
        <v>1.1599999999999999</v>
      </c>
      <c r="G914">
        <v>1.2050000000000001</v>
      </c>
      <c r="H914">
        <v>1.1499999999999999</v>
      </c>
      <c r="I914">
        <v>1.18</v>
      </c>
      <c r="J914">
        <v>7169679</v>
      </c>
      <c r="K914">
        <v>180753.57</v>
      </c>
      <c r="L914">
        <f t="shared" si="15"/>
        <v>0</v>
      </c>
      <c r="M914">
        <f>+IF(DailyData[[#This Row],[Column1]]&gt;0,DailyData[[#This Row],[Column1]]-L901,0)</f>
        <v>0</v>
      </c>
      <c r="N914" s="1">
        <f>+IF(DailyData[[#This Row],[Column2]]=0,0,DailyData[[#This Row],[Date]])</f>
        <v>0</v>
      </c>
    </row>
    <row r="915" spans="3:14" x14ac:dyDescent="0.25">
      <c r="C915" s="1">
        <v>45936</v>
      </c>
      <c r="D915" s="2" t="s">
        <v>10</v>
      </c>
      <c r="E915">
        <v>70000</v>
      </c>
      <c r="F915">
        <v>1.69</v>
      </c>
      <c r="G915">
        <v>1.6950000000000001</v>
      </c>
      <c r="H915">
        <v>1.655</v>
      </c>
      <c r="I915">
        <v>1.665</v>
      </c>
      <c r="J915">
        <v>2536227</v>
      </c>
      <c r="K915">
        <v>116550</v>
      </c>
      <c r="L915">
        <f t="shared" si="15"/>
        <v>0</v>
      </c>
      <c r="M915">
        <f>+IF(DailyData[[#This Row],[Column1]]&gt;0,DailyData[[#This Row],[Column1]]-L902,0)</f>
        <v>0</v>
      </c>
      <c r="N915" s="1">
        <f>+IF(DailyData[[#This Row],[Column2]]=0,0,DailyData[[#This Row],[Date]])</f>
        <v>0</v>
      </c>
    </row>
    <row r="916" spans="3:14" x14ac:dyDescent="0.25">
      <c r="C916" s="1">
        <v>45936</v>
      </c>
      <c r="D916" s="2" t="s">
        <v>11</v>
      </c>
      <c r="E916">
        <v>57458</v>
      </c>
      <c r="F916">
        <v>0.7</v>
      </c>
      <c r="G916">
        <v>0.76500000000000001</v>
      </c>
      <c r="H916">
        <v>0.68</v>
      </c>
      <c r="I916">
        <v>0.76500000000000001</v>
      </c>
      <c r="J916">
        <v>2889120</v>
      </c>
      <c r="K916">
        <v>43955.37</v>
      </c>
      <c r="L916">
        <f t="shared" si="15"/>
        <v>0</v>
      </c>
      <c r="M916">
        <f>+IF(DailyData[[#This Row],[Column1]]&gt;0,DailyData[[#This Row],[Column1]]-L903,0)</f>
        <v>0</v>
      </c>
      <c r="N916" s="1">
        <f>+IF(DailyData[[#This Row],[Column2]]=0,0,DailyData[[#This Row],[Date]])</f>
        <v>0</v>
      </c>
    </row>
    <row r="917" spans="3:14" x14ac:dyDescent="0.25">
      <c r="C917" s="1">
        <v>45936</v>
      </c>
      <c r="D917" s="2" t="s">
        <v>12</v>
      </c>
      <c r="E917">
        <v>16361</v>
      </c>
      <c r="F917">
        <v>42</v>
      </c>
      <c r="G917">
        <v>42.16</v>
      </c>
      <c r="H917">
        <v>41.8</v>
      </c>
      <c r="I917">
        <v>41.9</v>
      </c>
      <c r="J917">
        <v>5399935</v>
      </c>
      <c r="K917">
        <v>685525.92</v>
      </c>
      <c r="L917">
        <f t="shared" si="15"/>
        <v>0</v>
      </c>
      <c r="M917">
        <f>+IF(DailyData[[#This Row],[Column1]]&gt;0,DailyData[[#This Row],[Column1]]-L904,0)</f>
        <v>0</v>
      </c>
      <c r="N917" s="1">
        <f>+IF(DailyData[[#This Row],[Column2]]=0,0,DailyData[[#This Row],[Date]])</f>
        <v>0</v>
      </c>
    </row>
    <row r="918" spans="3:14" x14ac:dyDescent="0.25">
      <c r="C918" s="1">
        <v>45936</v>
      </c>
      <c r="D918" s="2" t="s">
        <v>13</v>
      </c>
      <c r="E918">
        <v>44090</v>
      </c>
      <c r="F918">
        <v>1.2999999999999999E-2</v>
      </c>
      <c r="G918">
        <v>1.4999999999999999E-2</v>
      </c>
      <c r="H918">
        <v>1.2999999999999999E-2</v>
      </c>
      <c r="I918">
        <v>1.4E-2</v>
      </c>
      <c r="J918">
        <v>1680388</v>
      </c>
      <c r="K918">
        <v>617.26</v>
      </c>
      <c r="L918">
        <f t="shared" si="15"/>
        <v>0</v>
      </c>
      <c r="M918">
        <f>+IF(DailyData[[#This Row],[Column1]]&gt;0,DailyData[[#This Row],[Column1]]-L905,0)</f>
        <v>0</v>
      </c>
      <c r="N918" s="1">
        <f>+IF(DailyData[[#This Row],[Column2]]=0,0,DailyData[[#This Row],[Date]])</f>
        <v>0</v>
      </c>
    </row>
    <row r="919" spans="3:14" x14ac:dyDescent="0.25">
      <c r="C919" s="1">
        <v>45936</v>
      </c>
      <c r="D919" s="2" t="s">
        <v>14</v>
      </c>
      <c r="E919">
        <v>0</v>
      </c>
      <c r="F919">
        <v>170.94</v>
      </c>
      <c r="G919">
        <v>171.86</v>
      </c>
      <c r="H919">
        <v>169.31</v>
      </c>
      <c r="I919">
        <v>169.96</v>
      </c>
      <c r="J919">
        <v>793906</v>
      </c>
      <c r="K919">
        <v>0</v>
      </c>
      <c r="L919">
        <f t="shared" si="15"/>
        <v>0</v>
      </c>
      <c r="M919">
        <f>+IF(DailyData[[#This Row],[Column1]]&gt;0,DailyData[[#This Row],[Column1]]-L906,0)</f>
        <v>0</v>
      </c>
      <c r="N919" s="1">
        <f>+IF(DailyData[[#This Row],[Column2]]=0,0,DailyData[[#This Row],[Date]])</f>
        <v>0</v>
      </c>
    </row>
    <row r="920" spans="3:14" x14ac:dyDescent="0.25">
      <c r="C920" s="1">
        <v>45936</v>
      </c>
      <c r="D920" s="2" t="s">
        <v>15</v>
      </c>
      <c r="E920">
        <v>10000</v>
      </c>
      <c r="F920">
        <v>0.435</v>
      </c>
      <c r="G920">
        <v>0.5</v>
      </c>
      <c r="H920">
        <v>0.435</v>
      </c>
      <c r="I920">
        <v>0.44500000000000001</v>
      </c>
      <c r="J920">
        <v>3510871</v>
      </c>
      <c r="K920">
        <v>4450</v>
      </c>
      <c r="L920">
        <f t="shared" si="15"/>
        <v>0</v>
      </c>
      <c r="M920">
        <f>+IF(DailyData[[#This Row],[Column1]]&gt;0,DailyData[[#This Row],[Column1]]-L907,0)</f>
        <v>0</v>
      </c>
      <c r="N920" s="1">
        <f>+IF(DailyData[[#This Row],[Column2]]=0,0,DailyData[[#This Row],[Date]])</f>
        <v>0</v>
      </c>
    </row>
    <row r="921" spans="3:14" x14ac:dyDescent="0.25">
      <c r="C921" s="1">
        <v>45936</v>
      </c>
      <c r="D921" s="2" t="s">
        <v>16</v>
      </c>
      <c r="E921">
        <v>20000</v>
      </c>
      <c r="F921">
        <v>0.33</v>
      </c>
      <c r="G921">
        <v>0.34</v>
      </c>
      <c r="H921">
        <v>0.315</v>
      </c>
      <c r="I921">
        <v>0.32500000000000001</v>
      </c>
      <c r="J921">
        <v>841078</v>
      </c>
      <c r="K921">
        <v>6500</v>
      </c>
      <c r="L921">
        <f t="shared" si="15"/>
        <v>0</v>
      </c>
      <c r="M921">
        <f>+IF(DailyData[[#This Row],[Column1]]&gt;0,DailyData[[#This Row],[Column1]]-L908,0)</f>
        <v>0</v>
      </c>
      <c r="N921" s="1">
        <f>+IF(DailyData[[#This Row],[Column2]]=0,0,DailyData[[#This Row],[Date]])</f>
        <v>0</v>
      </c>
    </row>
    <row r="922" spans="3:14" x14ac:dyDescent="0.25">
      <c r="C922" s="1">
        <v>45936</v>
      </c>
      <c r="D922" s="2" t="s">
        <v>17</v>
      </c>
      <c r="E922">
        <v>700000</v>
      </c>
      <c r="F922">
        <v>3.0000000000000001E-3</v>
      </c>
      <c r="G922">
        <v>3.0000000000000001E-3</v>
      </c>
      <c r="H922">
        <v>2E-3</v>
      </c>
      <c r="I922">
        <v>2E-3</v>
      </c>
      <c r="J922">
        <v>2050172</v>
      </c>
      <c r="K922">
        <v>1750</v>
      </c>
      <c r="L922">
        <f t="shared" si="15"/>
        <v>0</v>
      </c>
      <c r="M922">
        <f>+IF(DailyData[[#This Row],[Column1]]&gt;0,DailyData[[#This Row],[Column1]]-L909,0)</f>
        <v>0</v>
      </c>
      <c r="N922" s="1">
        <f>+IF(DailyData[[#This Row],[Column2]]=0,0,DailyData[[#This Row],[Date]])</f>
        <v>0</v>
      </c>
    </row>
    <row r="923" spans="3:14" x14ac:dyDescent="0.25">
      <c r="C923" s="1">
        <v>45936</v>
      </c>
      <c r="D923" s="2" t="s">
        <v>18</v>
      </c>
      <c r="E923">
        <v>9412</v>
      </c>
      <c r="F923">
        <v>0.32</v>
      </c>
      <c r="G923">
        <v>0.32</v>
      </c>
      <c r="H923">
        <v>0.3</v>
      </c>
      <c r="I923">
        <v>0.30499999999999999</v>
      </c>
      <c r="J923">
        <v>1575883</v>
      </c>
      <c r="K923">
        <v>2870.66</v>
      </c>
      <c r="L923">
        <f t="shared" si="15"/>
        <v>0</v>
      </c>
      <c r="M923">
        <f>+IF(DailyData[[#This Row],[Column1]]&gt;0,DailyData[[#This Row],[Column1]]-L910,0)</f>
        <v>0</v>
      </c>
      <c r="N923" s="1">
        <f>+IF(DailyData[[#This Row],[Column2]]=0,0,DailyData[[#This Row],[Date]])</f>
        <v>0</v>
      </c>
    </row>
    <row r="924" spans="3:14" x14ac:dyDescent="0.25">
      <c r="C924" s="1">
        <v>45936</v>
      </c>
      <c r="D924" s="2" t="s">
        <v>19</v>
      </c>
      <c r="E924">
        <v>6000</v>
      </c>
      <c r="F924">
        <v>0.20499999999999999</v>
      </c>
      <c r="G924">
        <v>0.25700000000000001</v>
      </c>
      <c r="H924">
        <v>0.20499999999999999</v>
      </c>
      <c r="I924">
        <v>0.24</v>
      </c>
      <c r="J924">
        <v>1008009</v>
      </c>
      <c r="K924">
        <v>1440</v>
      </c>
      <c r="L924">
        <f t="shared" si="15"/>
        <v>0</v>
      </c>
      <c r="M924">
        <f>+IF(DailyData[[#This Row],[Column1]]&gt;0,DailyData[[#This Row],[Column1]]-L911,0)</f>
        <v>0</v>
      </c>
      <c r="N924" s="1">
        <f>+IF(DailyData[[#This Row],[Column2]]=0,0,DailyData[[#This Row],[Date]])</f>
        <v>0</v>
      </c>
    </row>
    <row r="925" spans="3:14" x14ac:dyDescent="0.25">
      <c r="C925" s="1">
        <v>45936</v>
      </c>
      <c r="D925" s="2" t="s">
        <v>20</v>
      </c>
      <c r="E925">
        <v>0</v>
      </c>
      <c r="F925">
        <v>39.4</v>
      </c>
      <c r="G925">
        <v>39.72</v>
      </c>
      <c r="H925">
        <v>39.21</v>
      </c>
      <c r="I925">
        <v>39.369999999999997</v>
      </c>
      <c r="J925">
        <v>2262300</v>
      </c>
      <c r="K925">
        <v>0</v>
      </c>
      <c r="L925">
        <f t="shared" si="15"/>
        <v>0</v>
      </c>
      <c r="M925">
        <f>+IF(DailyData[[#This Row],[Column1]]&gt;0,DailyData[[#This Row],[Column1]]-L912,0)</f>
        <v>0</v>
      </c>
      <c r="N925" s="1">
        <f>+IF(DailyData[[#This Row],[Column2]]=0,0,DailyData[[#This Row],[Date]])</f>
        <v>0</v>
      </c>
    </row>
    <row r="926" spans="3:14" x14ac:dyDescent="0.25">
      <c r="C926" s="1">
        <v>45936</v>
      </c>
      <c r="D926" s="2" t="s">
        <v>21</v>
      </c>
      <c r="E926">
        <v>1288</v>
      </c>
      <c r="F926">
        <v>23.02</v>
      </c>
      <c r="G926">
        <v>23.3</v>
      </c>
      <c r="H926">
        <v>23.02</v>
      </c>
      <c r="I926">
        <v>23.15</v>
      </c>
      <c r="J926">
        <v>2465782</v>
      </c>
      <c r="K926">
        <v>29817.200000000001</v>
      </c>
      <c r="L926">
        <f t="shared" si="15"/>
        <v>1074229.9800000002</v>
      </c>
      <c r="M926">
        <f>+IF(DailyData[[#This Row],[Column1]]&gt;0,DailyData[[#This Row],[Column1]]-L913,0)</f>
        <v>7022.4600000001956</v>
      </c>
      <c r="N926" s="1">
        <f>+IF(DailyData[[#This Row],[Column2]]=0,0,DailyData[[#This Row],[Date]])</f>
        <v>45936</v>
      </c>
    </row>
    <row r="927" spans="3:14" x14ac:dyDescent="0.25">
      <c r="C927" s="1">
        <v>45937</v>
      </c>
      <c r="D927" s="2" t="s">
        <v>9</v>
      </c>
      <c r="E927">
        <v>153181</v>
      </c>
      <c r="F927">
        <v>1.1950000000000001</v>
      </c>
      <c r="G927">
        <v>1.2050000000000001</v>
      </c>
      <c r="H927">
        <v>1.175</v>
      </c>
      <c r="I927">
        <v>1.18</v>
      </c>
      <c r="J927">
        <v>12095802</v>
      </c>
      <c r="K927">
        <v>180753.57</v>
      </c>
      <c r="L927">
        <f t="shared" si="15"/>
        <v>0</v>
      </c>
      <c r="M927">
        <f>+IF(DailyData[[#This Row],[Column1]]&gt;0,DailyData[[#This Row],[Column1]]-L914,0)</f>
        <v>0</v>
      </c>
      <c r="N927" s="1">
        <f>+IF(DailyData[[#This Row],[Column2]]=0,0,DailyData[[#This Row],[Date]])</f>
        <v>0</v>
      </c>
    </row>
    <row r="928" spans="3:14" x14ac:dyDescent="0.25">
      <c r="C928" s="1">
        <v>45937</v>
      </c>
      <c r="D928" s="2" t="s">
        <v>10</v>
      </c>
      <c r="E928">
        <v>70000</v>
      </c>
      <c r="F928">
        <v>1.655</v>
      </c>
      <c r="G928">
        <v>1.665</v>
      </c>
      <c r="H928">
        <v>1.615</v>
      </c>
      <c r="I928">
        <v>1.635</v>
      </c>
      <c r="J928">
        <v>5287296</v>
      </c>
      <c r="K928">
        <v>114450</v>
      </c>
      <c r="L928">
        <f t="shared" si="15"/>
        <v>0</v>
      </c>
      <c r="M928">
        <f>+IF(DailyData[[#This Row],[Column1]]&gt;0,DailyData[[#This Row],[Column1]]-L915,0)</f>
        <v>0</v>
      </c>
      <c r="N928" s="1">
        <f>+IF(DailyData[[#This Row],[Column2]]=0,0,DailyData[[#This Row],[Date]])</f>
        <v>0</v>
      </c>
    </row>
    <row r="929" spans="3:14" x14ac:dyDescent="0.25">
      <c r="C929" s="1">
        <v>45937</v>
      </c>
      <c r="D929" s="2" t="s">
        <v>11</v>
      </c>
      <c r="E929">
        <v>57458</v>
      </c>
      <c r="F929">
        <v>0.79</v>
      </c>
      <c r="G929">
        <v>0.88</v>
      </c>
      <c r="H929">
        <v>0.79</v>
      </c>
      <c r="I929">
        <v>0.85</v>
      </c>
      <c r="J929">
        <v>2550580</v>
      </c>
      <c r="K929">
        <v>48839.3</v>
      </c>
      <c r="L929">
        <f t="shared" si="15"/>
        <v>0</v>
      </c>
      <c r="M929">
        <f>+IF(DailyData[[#This Row],[Column1]]&gt;0,DailyData[[#This Row],[Column1]]-L916,0)</f>
        <v>0</v>
      </c>
      <c r="N929" s="1">
        <f>+IF(DailyData[[#This Row],[Column2]]=0,0,DailyData[[#This Row],[Date]])</f>
        <v>0</v>
      </c>
    </row>
    <row r="930" spans="3:14" x14ac:dyDescent="0.25">
      <c r="C930" s="1">
        <v>45937</v>
      </c>
      <c r="D930" s="2" t="s">
        <v>12</v>
      </c>
      <c r="E930">
        <v>16361</v>
      </c>
      <c r="F930">
        <v>41.9</v>
      </c>
      <c r="G930">
        <v>42.314999999999998</v>
      </c>
      <c r="H930">
        <v>41.87</v>
      </c>
      <c r="I930">
        <v>41.96</v>
      </c>
      <c r="J930">
        <v>6151818</v>
      </c>
      <c r="K930">
        <v>686507.55</v>
      </c>
      <c r="L930">
        <f t="shared" si="15"/>
        <v>0</v>
      </c>
      <c r="M930">
        <f>+IF(DailyData[[#This Row],[Column1]]&gt;0,DailyData[[#This Row],[Column1]]-L917,0)</f>
        <v>0</v>
      </c>
      <c r="N930" s="1">
        <f>+IF(DailyData[[#This Row],[Column2]]=0,0,DailyData[[#This Row],[Date]])</f>
        <v>0</v>
      </c>
    </row>
    <row r="931" spans="3:14" x14ac:dyDescent="0.25">
      <c r="C931" s="1">
        <v>45937</v>
      </c>
      <c r="D931" s="2" t="s">
        <v>13</v>
      </c>
      <c r="E931">
        <v>44090</v>
      </c>
      <c r="F931">
        <v>1.4999999999999999E-2</v>
      </c>
      <c r="G931">
        <v>1.4999999999999999E-2</v>
      </c>
      <c r="H931">
        <v>1.4E-2</v>
      </c>
      <c r="I931">
        <v>1.4E-2</v>
      </c>
      <c r="J931">
        <v>1051200</v>
      </c>
      <c r="K931">
        <v>617.26</v>
      </c>
      <c r="L931">
        <f t="shared" si="15"/>
        <v>0</v>
      </c>
      <c r="M931">
        <f>+IF(DailyData[[#This Row],[Column1]]&gt;0,DailyData[[#This Row],[Column1]]-L918,0)</f>
        <v>0</v>
      </c>
      <c r="N931" s="1">
        <f>+IF(DailyData[[#This Row],[Column2]]=0,0,DailyData[[#This Row],[Date]])</f>
        <v>0</v>
      </c>
    </row>
    <row r="932" spans="3:14" x14ac:dyDescent="0.25">
      <c r="C932" s="1">
        <v>45937</v>
      </c>
      <c r="D932" s="2" t="s">
        <v>14</v>
      </c>
      <c r="E932">
        <v>0</v>
      </c>
      <c r="F932">
        <v>168.82</v>
      </c>
      <c r="G932">
        <v>170.1</v>
      </c>
      <c r="H932">
        <v>167.55</v>
      </c>
      <c r="I932">
        <v>169.34</v>
      </c>
      <c r="J932">
        <v>1359513</v>
      </c>
      <c r="K932">
        <v>0</v>
      </c>
      <c r="L932">
        <f t="shared" si="15"/>
        <v>0</v>
      </c>
      <c r="M932">
        <f>+IF(DailyData[[#This Row],[Column1]]&gt;0,DailyData[[#This Row],[Column1]]-L919,0)</f>
        <v>0</v>
      </c>
      <c r="N932" s="1">
        <f>+IF(DailyData[[#This Row],[Column2]]=0,0,DailyData[[#This Row],[Date]])</f>
        <v>0</v>
      </c>
    </row>
    <row r="933" spans="3:14" x14ac:dyDescent="0.25">
      <c r="C933" s="1">
        <v>45937</v>
      </c>
      <c r="D933" s="2" t="s">
        <v>15</v>
      </c>
      <c r="E933">
        <v>10000</v>
      </c>
      <c r="F933">
        <v>0.45500000000000002</v>
      </c>
      <c r="G933">
        <v>0.45800000000000002</v>
      </c>
      <c r="H933">
        <v>0.41499999999999998</v>
      </c>
      <c r="I933">
        <v>0.42499999999999999</v>
      </c>
      <c r="J933">
        <v>739533</v>
      </c>
      <c r="K933">
        <v>4250</v>
      </c>
      <c r="L933">
        <f t="shared" si="15"/>
        <v>0</v>
      </c>
      <c r="M933">
        <f>+IF(DailyData[[#This Row],[Column1]]&gt;0,DailyData[[#This Row],[Column1]]-L920,0)</f>
        <v>0</v>
      </c>
      <c r="N933" s="1">
        <f>+IF(DailyData[[#This Row],[Column2]]=0,0,DailyData[[#This Row],[Date]])</f>
        <v>0</v>
      </c>
    </row>
    <row r="934" spans="3:14" x14ac:dyDescent="0.25">
      <c r="C934" s="1">
        <v>45937</v>
      </c>
      <c r="D934" s="2" t="s">
        <v>16</v>
      </c>
      <c r="E934">
        <v>20000</v>
      </c>
      <c r="F934">
        <v>0.33</v>
      </c>
      <c r="G934">
        <v>0.36</v>
      </c>
      <c r="H934">
        <v>0.33</v>
      </c>
      <c r="I934">
        <v>0.33500000000000002</v>
      </c>
      <c r="J934">
        <v>1940753</v>
      </c>
      <c r="K934">
        <v>6700</v>
      </c>
      <c r="L934">
        <f t="shared" si="15"/>
        <v>0</v>
      </c>
      <c r="M934">
        <f>+IF(DailyData[[#This Row],[Column1]]&gt;0,DailyData[[#This Row],[Column1]]-L921,0)</f>
        <v>0</v>
      </c>
      <c r="N934" s="1">
        <f>+IF(DailyData[[#This Row],[Column2]]=0,0,DailyData[[#This Row],[Date]])</f>
        <v>0</v>
      </c>
    </row>
    <row r="935" spans="3:14" x14ac:dyDescent="0.25">
      <c r="C935" s="1">
        <v>45937</v>
      </c>
      <c r="D935" s="2" t="s">
        <v>17</v>
      </c>
      <c r="E935">
        <v>700000</v>
      </c>
      <c r="F935">
        <v>2E-3</v>
      </c>
      <c r="G935">
        <v>2E-3</v>
      </c>
      <c r="H935">
        <v>2E-3</v>
      </c>
      <c r="I935">
        <v>2E-3</v>
      </c>
      <c r="J935">
        <v>1525200</v>
      </c>
      <c r="K935">
        <v>1750</v>
      </c>
      <c r="L935">
        <f t="shared" si="15"/>
        <v>0</v>
      </c>
      <c r="M935">
        <f>+IF(DailyData[[#This Row],[Column1]]&gt;0,DailyData[[#This Row],[Column1]]-L922,0)</f>
        <v>0</v>
      </c>
      <c r="N935" s="1">
        <f>+IF(DailyData[[#This Row],[Column2]]=0,0,DailyData[[#This Row],[Date]])</f>
        <v>0</v>
      </c>
    </row>
    <row r="936" spans="3:14" x14ac:dyDescent="0.25">
      <c r="C936" s="1">
        <v>45937</v>
      </c>
      <c r="D936" s="2" t="s">
        <v>18</v>
      </c>
      <c r="E936">
        <v>9412</v>
      </c>
      <c r="F936">
        <v>0.31</v>
      </c>
      <c r="G936">
        <v>0.31</v>
      </c>
      <c r="H936">
        <v>0.28999999999999998</v>
      </c>
      <c r="I936">
        <v>0.28999999999999998</v>
      </c>
      <c r="J936">
        <v>394293</v>
      </c>
      <c r="K936">
        <v>2729.48</v>
      </c>
      <c r="L936">
        <f t="shared" si="15"/>
        <v>0</v>
      </c>
      <c r="M936">
        <f>+IF(DailyData[[#This Row],[Column1]]&gt;0,DailyData[[#This Row],[Column1]]-L923,0)</f>
        <v>0</v>
      </c>
      <c r="N936" s="1">
        <f>+IF(DailyData[[#This Row],[Column2]]=0,0,DailyData[[#This Row],[Date]])</f>
        <v>0</v>
      </c>
    </row>
    <row r="937" spans="3:14" x14ac:dyDescent="0.25">
      <c r="C937" s="1">
        <v>45937</v>
      </c>
      <c r="D937" s="2" t="s">
        <v>19</v>
      </c>
      <c r="E937">
        <v>6000</v>
      </c>
      <c r="F937">
        <v>0.24</v>
      </c>
      <c r="G937">
        <v>0.28999999999999998</v>
      </c>
      <c r="H937">
        <v>0.24</v>
      </c>
      <c r="I937">
        <v>0.28000000000000003</v>
      </c>
      <c r="J937">
        <v>1244288</v>
      </c>
      <c r="K937">
        <v>1680</v>
      </c>
      <c r="L937">
        <f t="shared" si="15"/>
        <v>0</v>
      </c>
      <c r="M937">
        <f>+IF(DailyData[[#This Row],[Column1]]&gt;0,DailyData[[#This Row],[Column1]]-L924,0)</f>
        <v>0</v>
      </c>
      <c r="N937" s="1">
        <f>+IF(DailyData[[#This Row],[Column2]]=0,0,DailyData[[#This Row],[Date]])</f>
        <v>0</v>
      </c>
    </row>
    <row r="938" spans="3:14" x14ac:dyDescent="0.25">
      <c r="C938" s="1">
        <v>45937</v>
      </c>
      <c r="D938" s="2" t="s">
        <v>20</v>
      </c>
      <c r="E938">
        <v>0</v>
      </c>
      <c r="F938">
        <v>39.270000000000003</v>
      </c>
      <c r="G938">
        <v>39.445</v>
      </c>
      <c r="H938">
        <v>39</v>
      </c>
      <c r="I938">
        <v>39.369999999999997</v>
      </c>
      <c r="J938">
        <v>2675176</v>
      </c>
      <c r="K938">
        <v>0</v>
      </c>
      <c r="L938">
        <f t="shared" si="15"/>
        <v>0</v>
      </c>
      <c r="M938">
        <f>+IF(DailyData[[#This Row],[Column1]]&gt;0,DailyData[[#This Row],[Column1]]-L925,0)</f>
        <v>0</v>
      </c>
      <c r="N938" s="1">
        <f>+IF(DailyData[[#This Row],[Column2]]=0,0,DailyData[[#This Row],[Date]])</f>
        <v>0</v>
      </c>
    </row>
    <row r="939" spans="3:14" x14ac:dyDescent="0.25">
      <c r="C939" s="1">
        <v>45937</v>
      </c>
      <c r="D939" s="2" t="s">
        <v>21</v>
      </c>
      <c r="E939">
        <v>1288</v>
      </c>
      <c r="F939">
        <v>23.11</v>
      </c>
      <c r="G939">
        <v>23.33</v>
      </c>
      <c r="H939">
        <v>23.01</v>
      </c>
      <c r="I939">
        <v>23.01</v>
      </c>
      <c r="J939">
        <v>3853022</v>
      </c>
      <c r="K939">
        <v>29636.880000000001</v>
      </c>
      <c r="L939">
        <f t="shared" si="15"/>
        <v>1077914.04</v>
      </c>
      <c r="M939">
        <f>+IF(DailyData[[#This Row],[Column1]]&gt;0,DailyData[[#This Row],[Column1]]-L926,0)</f>
        <v>3684.059999999823</v>
      </c>
      <c r="N939" s="1">
        <f>+IF(DailyData[[#This Row],[Column2]]=0,0,DailyData[[#This Row],[Date]])</f>
        <v>45937</v>
      </c>
    </row>
    <row r="940" spans="3:14" x14ac:dyDescent="0.25">
      <c r="C940" s="1">
        <v>45938</v>
      </c>
      <c r="D940" s="2" t="s">
        <v>9</v>
      </c>
      <c r="E940">
        <v>153181</v>
      </c>
      <c r="F940">
        <v>1.165</v>
      </c>
      <c r="G940">
        <v>1.1850000000000001</v>
      </c>
      <c r="H940">
        <v>1.1399999999999999</v>
      </c>
      <c r="I940">
        <v>1.1850000000000001</v>
      </c>
      <c r="J940">
        <v>5911285</v>
      </c>
      <c r="K940">
        <v>181519.48</v>
      </c>
      <c r="L940">
        <f t="shared" si="15"/>
        <v>0</v>
      </c>
      <c r="M940">
        <f>+IF(DailyData[[#This Row],[Column1]]&gt;0,DailyData[[#This Row],[Column1]]-L927,0)</f>
        <v>0</v>
      </c>
      <c r="N940" s="1">
        <f>+IF(DailyData[[#This Row],[Column2]]=0,0,DailyData[[#This Row],[Date]])</f>
        <v>0</v>
      </c>
    </row>
    <row r="941" spans="3:14" x14ac:dyDescent="0.25">
      <c r="C941" s="1">
        <v>45938</v>
      </c>
      <c r="D941" s="2" t="s">
        <v>10</v>
      </c>
      <c r="E941">
        <v>70000</v>
      </c>
      <c r="F941">
        <v>1.62</v>
      </c>
      <c r="G941">
        <v>1.675</v>
      </c>
      <c r="H941">
        <v>1.59</v>
      </c>
      <c r="I941">
        <v>1.65</v>
      </c>
      <c r="J941">
        <v>6540195</v>
      </c>
      <c r="K941">
        <v>115500</v>
      </c>
      <c r="L941">
        <f t="shared" si="15"/>
        <v>0</v>
      </c>
      <c r="M941">
        <f>+IF(DailyData[[#This Row],[Column1]]&gt;0,DailyData[[#This Row],[Column1]]-L928,0)</f>
        <v>0</v>
      </c>
      <c r="N941" s="1">
        <f>+IF(DailyData[[#This Row],[Column2]]=0,0,DailyData[[#This Row],[Date]])</f>
        <v>0</v>
      </c>
    </row>
    <row r="942" spans="3:14" x14ac:dyDescent="0.25">
      <c r="C942" s="1">
        <v>45938</v>
      </c>
      <c r="D942" s="2" t="s">
        <v>11</v>
      </c>
      <c r="E942">
        <v>57458</v>
      </c>
      <c r="F942">
        <v>0.87</v>
      </c>
      <c r="G942">
        <v>0.89</v>
      </c>
      <c r="H942">
        <v>0.81</v>
      </c>
      <c r="I942">
        <v>0.82</v>
      </c>
      <c r="J942">
        <v>1546938</v>
      </c>
      <c r="K942">
        <v>47115.56</v>
      </c>
      <c r="L942">
        <f t="shared" si="15"/>
        <v>0</v>
      </c>
      <c r="M942">
        <f>+IF(DailyData[[#This Row],[Column1]]&gt;0,DailyData[[#This Row],[Column1]]-L929,0)</f>
        <v>0</v>
      </c>
      <c r="N942" s="1">
        <f>+IF(DailyData[[#This Row],[Column2]]=0,0,DailyData[[#This Row],[Date]])</f>
        <v>0</v>
      </c>
    </row>
    <row r="943" spans="3:14" x14ac:dyDescent="0.25">
      <c r="C943" s="1">
        <v>45938</v>
      </c>
      <c r="D943" s="2" t="s">
        <v>12</v>
      </c>
      <c r="E943">
        <v>16361</v>
      </c>
      <c r="F943">
        <v>41.95</v>
      </c>
      <c r="G943">
        <v>42.115000000000002</v>
      </c>
      <c r="H943">
        <v>41.82</v>
      </c>
      <c r="I943">
        <v>41.89</v>
      </c>
      <c r="J943">
        <v>6737624</v>
      </c>
      <c r="K943">
        <v>685362.28</v>
      </c>
      <c r="L943">
        <f t="shared" si="15"/>
        <v>0</v>
      </c>
      <c r="M943">
        <f>+IF(DailyData[[#This Row],[Column1]]&gt;0,DailyData[[#This Row],[Column1]]-L930,0)</f>
        <v>0</v>
      </c>
      <c r="N943" s="1">
        <f>+IF(DailyData[[#This Row],[Column2]]=0,0,DailyData[[#This Row],[Date]])</f>
        <v>0</v>
      </c>
    </row>
    <row r="944" spans="3:14" x14ac:dyDescent="0.25">
      <c r="C944" s="1">
        <v>45938</v>
      </c>
      <c r="D944" s="2" t="s">
        <v>13</v>
      </c>
      <c r="E944">
        <v>44090</v>
      </c>
      <c r="F944">
        <v>1.4999999999999999E-2</v>
      </c>
      <c r="G944">
        <v>1.4999999999999999E-2</v>
      </c>
      <c r="H944">
        <v>1.4E-2</v>
      </c>
      <c r="I944">
        <v>1.4E-2</v>
      </c>
      <c r="J944">
        <v>1363331</v>
      </c>
      <c r="K944">
        <v>617.26</v>
      </c>
      <c r="L944">
        <f t="shared" si="15"/>
        <v>0</v>
      </c>
      <c r="M944">
        <f>+IF(DailyData[[#This Row],[Column1]]&gt;0,DailyData[[#This Row],[Column1]]-L931,0)</f>
        <v>0</v>
      </c>
      <c r="N944" s="1">
        <f>+IF(DailyData[[#This Row],[Column2]]=0,0,DailyData[[#This Row],[Date]])</f>
        <v>0</v>
      </c>
    </row>
    <row r="945" spans="3:14" x14ac:dyDescent="0.25">
      <c r="C945" s="1">
        <v>45938</v>
      </c>
      <c r="D945" s="2" t="s">
        <v>14</v>
      </c>
      <c r="E945">
        <v>0</v>
      </c>
      <c r="F945">
        <v>169.25</v>
      </c>
      <c r="G945">
        <v>170.63</v>
      </c>
      <c r="H945">
        <v>169.04</v>
      </c>
      <c r="I945">
        <v>169.42</v>
      </c>
      <c r="J945">
        <v>1242369</v>
      </c>
      <c r="K945">
        <v>0</v>
      </c>
      <c r="L945">
        <f t="shared" si="15"/>
        <v>0</v>
      </c>
      <c r="M945">
        <f>+IF(DailyData[[#This Row],[Column1]]&gt;0,DailyData[[#This Row],[Column1]]-L932,0)</f>
        <v>0</v>
      </c>
      <c r="N945" s="1">
        <f>+IF(DailyData[[#This Row],[Column2]]=0,0,DailyData[[#This Row],[Date]])</f>
        <v>0</v>
      </c>
    </row>
    <row r="946" spans="3:14" x14ac:dyDescent="0.25">
      <c r="C946" s="1">
        <v>45938</v>
      </c>
      <c r="D946" s="2" t="s">
        <v>15</v>
      </c>
      <c r="E946">
        <v>10000</v>
      </c>
      <c r="F946">
        <v>0.42499999999999999</v>
      </c>
      <c r="G946">
        <v>0.435</v>
      </c>
      <c r="H946">
        <v>0.40500000000000003</v>
      </c>
      <c r="I946">
        <v>0.43</v>
      </c>
      <c r="J946">
        <v>1447629</v>
      </c>
      <c r="K946">
        <v>4300</v>
      </c>
      <c r="L946">
        <f t="shared" si="15"/>
        <v>0</v>
      </c>
      <c r="M946">
        <f>+IF(DailyData[[#This Row],[Column1]]&gt;0,DailyData[[#This Row],[Column1]]-L933,0)</f>
        <v>0</v>
      </c>
      <c r="N946" s="1">
        <f>+IF(DailyData[[#This Row],[Column2]]=0,0,DailyData[[#This Row],[Date]])</f>
        <v>0</v>
      </c>
    </row>
    <row r="947" spans="3:14" x14ac:dyDescent="0.25">
      <c r="C947" s="1">
        <v>45938</v>
      </c>
      <c r="D947" s="2" t="s">
        <v>16</v>
      </c>
      <c r="E947">
        <v>20000</v>
      </c>
      <c r="F947">
        <v>0.33500000000000002</v>
      </c>
      <c r="G947">
        <v>0.34499999999999997</v>
      </c>
      <c r="H947">
        <v>0.32</v>
      </c>
      <c r="I947">
        <v>0.33</v>
      </c>
      <c r="J947">
        <v>321591</v>
      </c>
      <c r="K947">
        <v>6600</v>
      </c>
      <c r="L947">
        <f t="shared" si="15"/>
        <v>0</v>
      </c>
      <c r="M947">
        <f>+IF(DailyData[[#This Row],[Column1]]&gt;0,DailyData[[#This Row],[Column1]]-L934,0)</f>
        <v>0</v>
      </c>
      <c r="N947" s="1">
        <f>+IF(DailyData[[#This Row],[Column2]]=0,0,DailyData[[#This Row],[Date]])</f>
        <v>0</v>
      </c>
    </row>
    <row r="948" spans="3:14" x14ac:dyDescent="0.25">
      <c r="C948" s="1">
        <v>45938</v>
      </c>
      <c r="D948" s="2" t="s">
        <v>17</v>
      </c>
      <c r="E948">
        <v>700000</v>
      </c>
      <c r="F948">
        <v>3.0000000000000001E-3</v>
      </c>
      <c r="G948">
        <v>3.0000000000000001E-3</v>
      </c>
      <c r="H948">
        <v>2E-3</v>
      </c>
      <c r="I948">
        <v>2E-3</v>
      </c>
      <c r="J948">
        <v>1012410</v>
      </c>
      <c r="K948">
        <v>1750</v>
      </c>
      <c r="L948">
        <f t="shared" si="15"/>
        <v>0</v>
      </c>
      <c r="M948">
        <f>+IF(DailyData[[#This Row],[Column1]]&gt;0,DailyData[[#This Row],[Column1]]-L935,0)</f>
        <v>0</v>
      </c>
      <c r="N948" s="1">
        <f>+IF(DailyData[[#This Row],[Column2]]=0,0,DailyData[[#This Row],[Date]])</f>
        <v>0</v>
      </c>
    </row>
    <row r="949" spans="3:14" x14ac:dyDescent="0.25">
      <c r="C949" s="1">
        <v>45938</v>
      </c>
      <c r="D949" s="2" t="s">
        <v>18</v>
      </c>
      <c r="E949">
        <v>9412</v>
      </c>
      <c r="F949">
        <v>0.28499999999999998</v>
      </c>
      <c r="G949">
        <v>0.3</v>
      </c>
      <c r="H949">
        <v>0.28499999999999998</v>
      </c>
      <c r="I949">
        <v>0.28499999999999998</v>
      </c>
      <c r="J949">
        <v>442154</v>
      </c>
      <c r="K949">
        <v>2682.42</v>
      </c>
      <c r="L949">
        <f t="shared" si="15"/>
        <v>0</v>
      </c>
      <c r="M949">
        <f>+IF(DailyData[[#This Row],[Column1]]&gt;0,DailyData[[#This Row],[Column1]]-L936,0)</f>
        <v>0</v>
      </c>
      <c r="N949" s="1">
        <f>+IF(DailyData[[#This Row],[Column2]]=0,0,DailyData[[#This Row],[Date]])</f>
        <v>0</v>
      </c>
    </row>
    <row r="950" spans="3:14" x14ac:dyDescent="0.25">
      <c r="C950" s="1">
        <v>45938</v>
      </c>
      <c r="D950" s="2" t="s">
        <v>19</v>
      </c>
      <c r="E950">
        <v>6000</v>
      </c>
      <c r="F950">
        <v>0.28999999999999998</v>
      </c>
      <c r="G950">
        <v>0.28999999999999998</v>
      </c>
      <c r="H950">
        <v>0.25</v>
      </c>
      <c r="I950">
        <v>0.27</v>
      </c>
      <c r="J950">
        <v>358878</v>
      </c>
      <c r="K950">
        <v>1620</v>
      </c>
      <c r="L950">
        <f t="shared" si="15"/>
        <v>0</v>
      </c>
      <c r="M950">
        <f>+IF(DailyData[[#This Row],[Column1]]&gt;0,DailyData[[#This Row],[Column1]]-L937,0)</f>
        <v>0</v>
      </c>
      <c r="N950" s="1">
        <f>+IF(DailyData[[#This Row],[Column2]]=0,0,DailyData[[#This Row],[Date]])</f>
        <v>0</v>
      </c>
    </row>
    <row r="951" spans="3:14" x14ac:dyDescent="0.25">
      <c r="C951" s="1">
        <v>45938</v>
      </c>
      <c r="D951" s="2" t="s">
        <v>20</v>
      </c>
      <c r="E951">
        <v>0</v>
      </c>
      <c r="F951">
        <v>39.299999999999997</v>
      </c>
      <c r="G951">
        <v>39.534999999999997</v>
      </c>
      <c r="H951">
        <v>39.200000000000003</v>
      </c>
      <c r="I951">
        <v>39.270000000000003</v>
      </c>
      <c r="J951">
        <v>3077348</v>
      </c>
      <c r="K951">
        <v>0</v>
      </c>
      <c r="L951">
        <f t="shared" si="15"/>
        <v>0</v>
      </c>
      <c r="M951">
        <f>+IF(DailyData[[#This Row],[Column1]]&gt;0,DailyData[[#This Row],[Column1]]-L938,0)</f>
        <v>0</v>
      </c>
      <c r="N951" s="1">
        <f>+IF(DailyData[[#This Row],[Column2]]=0,0,DailyData[[#This Row],[Date]])</f>
        <v>0</v>
      </c>
    </row>
    <row r="952" spans="3:14" x14ac:dyDescent="0.25">
      <c r="C952" s="1">
        <v>45938</v>
      </c>
      <c r="D952" s="2" t="s">
        <v>21</v>
      </c>
      <c r="E952">
        <v>1288</v>
      </c>
      <c r="F952">
        <v>23.07</v>
      </c>
      <c r="G952">
        <v>23.11</v>
      </c>
      <c r="H952">
        <v>22.79</v>
      </c>
      <c r="I952">
        <v>22.81</v>
      </c>
      <c r="J952">
        <v>3101357</v>
      </c>
      <c r="K952">
        <v>29379.279999999999</v>
      </c>
      <c r="L952">
        <f t="shared" si="15"/>
        <v>1076446.28</v>
      </c>
      <c r="M952">
        <f>+IF(DailyData[[#This Row],[Column1]]&gt;0,DailyData[[#This Row],[Column1]]-L939,0)</f>
        <v>-1467.7600000000093</v>
      </c>
      <c r="N952" s="1">
        <f>+IF(DailyData[[#This Row],[Column2]]=0,0,DailyData[[#This Row],[Date]])</f>
        <v>45938</v>
      </c>
    </row>
    <row r="953" spans="3:14" x14ac:dyDescent="0.25">
      <c r="C953" s="1">
        <v>45939</v>
      </c>
      <c r="D953" s="2" t="s">
        <v>9</v>
      </c>
      <c r="E953">
        <v>153181</v>
      </c>
      <c r="F953">
        <v>1.2</v>
      </c>
      <c r="G953">
        <v>1.2</v>
      </c>
      <c r="H953">
        <v>1.145</v>
      </c>
      <c r="I953">
        <v>1.1599999999999999</v>
      </c>
      <c r="J953">
        <v>7306768</v>
      </c>
      <c r="K953">
        <v>177689.95</v>
      </c>
      <c r="L953">
        <f t="shared" si="15"/>
        <v>0</v>
      </c>
      <c r="M953">
        <f>+IF(DailyData[[#This Row],[Column1]]&gt;0,DailyData[[#This Row],[Column1]]-L940,0)</f>
        <v>0</v>
      </c>
      <c r="N953" s="1">
        <f>+IF(DailyData[[#This Row],[Column2]]=0,0,DailyData[[#This Row],[Date]])</f>
        <v>0</v>
      </c>
    </row>
    <row r="954" spans="3:14" x14ac:dyDescent="0.25">
      <c r="C954" s="1">
        <v>45939</v>
      </c>
      <c r="D954" s="2" t="s">
        <v>10</v>
      </c>
      <c r="E954">
        <v>70000</v>
      </c>
      <c r="F954">
        <v>1.66</v>
      </c>
      <c r="G954">
        <v>1.6850000000000001</v>
      </c>
      <c r="H954">
        <v>1.655</v>
      </c>
      <c r="I954">
        <v>1.67</v>
      </c>
      <c r="J954">
        <v>4909153</v>
      </c>
      <c r="K954">
        <v>116900</v>
      </c>
      <c r="L954">
        <f t="shared" si="15"/>
        <v>0</v>
      </c>
      <c r="M954">
        <f>+IF(DailyData[[#This Row],[Column1]]&gt;0,DailyData[[#This Row],[Column1]]-L941,0)</f>
        <v>0</v>
      </c>
      <c r="N954" s="1">
        <f>+IF(DailyData[[#This Row],[Column2]]=0,0,DailyData[[#This Row],[Date]])</f>
        <v>0</v>
      </c>
    </row>
    <row r="955" spans="3:14" x14ac:dyDescent="0.25">
      <c r="C955" s="1">
        <v>45939</v>
      </c>
      <c r="D955" s="2" t="s">
        <v>11</v>
      </c>
      <c r="E955">
        <v>57458</v>
      </c>
      <c r="F955">
        <v>0.82499999999999996</v>
      </c>
      <c r="G955">
        <v>0.88</v>
      </c>
      <c r="H955">
        <v>0.8</v>
      </c>
      <c r="I955">
        <v>0.875</v>
      </c>
      <c r="J955">
        <v>1258992</v>
      </c>
      <c r="K955">
        <v>50275.75</v>
      </c>
      <c r="L955">
        <f t="shared" si="15"/>
        <v>0</v>
      </c>
      <c r="M955">
        <f>+IF(DailyData[[#This Row],[Column1]]&gt;0,DailyData[[#This Row],[Column1]]-L942,0)</f>
        <v>0</v>
      </c>
      <c r="N955" s="1">
        <f>+IF(DailyData[[#This Row],[Column2]]=0,0,DailyData[[#This Row],[Date]])</f>
        <v>0</v>
      </c>
    </row>
    <row r="956" spans="3:14" x14ac:dyDescent="0.25">
      <c r="C956" s="1">
        <v>45939</v>
      </c>
      <c r="D956" s="2" t="s">
        <v>12</v>
      </c>
      <c r="E956">
        <v>16361</v>
      </c>
      <c r="F956">
        <v>42.61</v>
      </c>
      <c r="G956">
        <v>43.11</v>
      </c>
      <c r="H956">
        <v>42.494999999999997</v>
      </c>
      <c r="I956">
        <v>43.11</v>
      </c>
      <c r="J956">
        <v>14134217</v>
      </c>
      <c r="K956">
        <v>705322.72</v>
      </c>
      <c r="L956">
        <f t="shared" si="15"/>
        <v>0</v>
      </c>
      <c r="M956">
        <f>+IF(DailyData[[#This Row],[Column1]]&gt;0,DailyData[[#This Row],[Column1]]-L943,0)</f>
        <v>0</v>
      </c>
      <c r="N956" s="1">
        <f>+IF(DailyData[[#This Row],[Column2]]=0,0,DailyData[[#This Row],[Date]])</f>
        <v>0</v>
      </c>
    </row>
    <row r="957" spans="3:14" x14ac:dyDescent="0.25">
      <c r="C957" s="1">
        <v>45939</v>
      </c>
      <c r="D957" s="2" t="s">
        <v>13</v>
      </c>
      <c r="E957">
        <v>44090</v>
      </c>
      <c r="F957">
        <v>1.4E-2</v>
      </c>
      <c r="G957">
        <v>1.4E-2</v>
      </c>
      <c r="H957">
        <v>1.4E-2</v>
      </c>
      <c r="I957">
        <v>1.4E-2</v>
      </c>
      <c r="J957">
        <v>1029054</v>
      </c>
      <c r="K957">
        <v>617.26</v>
      </c>
      <c r="L957">
        <f t="shared" si="15"/>
        <v>0</v>
      </c>
      <c r="M957">
        <f>+IF(DailyData[[#This Row],[Column1]]&gt;0,DailyData[[#This Row],[Column1]]-L944,0)</f>
        <v>0</v>
      </c>
      <c r="N957" s="1">
        <f>+IF(DailyData[[#This Row],[Column2]]=0,0,DailyData[[#This Row],[Date]])</f>
        <v>0</v>
      </c>
    </row>
    <row r="958" spans="3:14" x14ac:dyDescent="0.25">
      <c r="C958" s="1">
        <v>45939</v>
      </c>
      <c r="D958" s="2" t="s">
        <v>14</v>
      </c>
      <c r="E958">
        <v>0</v>
      </c>
      <c r="F958">
        <v>168.77</v>
      </c>
      <c r="G958">
        <v>169.18</v>
      </c>
      <c r="H958">
        <v>167.22</v>
      </c>
      <c r="I958">
        <v>167.31</v>
      </c>
      <c r="J958">
        <v>2169123</v>
      </c>
      <c r="K958">
        <v>0</v>
      </c>
      <c r="L958">
        <f t="shared" si="15"/>
        <v>0</v>
      </c>
      <c r="M958">
        <f>+IF(DailyData[[#This Row],[Column1]]&gt;0,DailyData[[#This Row],[Column1]]-L945,0)</f>
        <v>0</v>
      </c>
      <c r="N958" s="1">
        <f>+IF(DailyData[[#This Row],[Column2]]=0,0,DailyData[[#This Row],[Date]])</f>
        <v>0</v>
      </c>
    </row>
    <row r="959" spans="3:14" x14ac:dyDescent="0.25">
      <c r="C959" s="1">
        <v>45939</v>
      </c>
      <c r="D959" s="2" t="s">
        <v>15</v>
      </c>
      <c r="E959">
        <v>10000</v>
      </c>
      <c r="F959">
        <v>0.44</v>
      </c>
      <c r="G959">
        <v>0.49</v>
      </c>
      <c r="H959">
        <v>0.43</v>
      </c>
      <c r="I959">
        <v>0.48</v>
      </c>
      <c r="J959">
        <v>1951038</v>
      </c>
      <c r="K959">
        <v>4800</v>
      </c>
      <c r="L959">
        <f t="shared" si="15"/>
        <v>0</v>
      </c>
      <c r="M959">
        <f>+IF(DailyData[[#This Row],[Column1]]&gt;0,DailyData[[#This Row],[Column1]]-L946,0)</f>
        <v>0</v>
      </c>
      <c r="N959" s="1">
        <f>+IF(DailyData[[#This Row],[Column2]]=0,0,DailyData[[#This Row],[Date]])</f>
        <v>0</v>
      </c>
    </row>
    <row r="960" spans="3:14" x14ac:dyDescent="0.25">
      <c r="C960" s="1">
        <v>45939</v>
      </c>
      <c r="D960" s="2" t="s">
        <v>16</v>
      </c>
      <c r="E960">
        <v>20000</v>
      </c>
      <c r="F960">
        <v>0.34</v>
      </c>
      <c r="G960">
        <v>0.35</v>
      </c>
      <c r="H960">
        <v>0.32500000000000001</v>
      </c>
      <c r="I960">
        <v>0.33500000000000002</v>
      </c>
      <c r="J960">
        <v>826059</v>
      </c>
      <c r="K960">
        <v>6700</v>
      </c>
      <c r="L960">
        <f t="shared" si="15"/>
        <v>0</v>
      </c>
      <c r="M960">
        <f>+IF(DailyData[[#This Row],[Column1]]&gt;0,DailyData[[#This Row],[Column1]]-L947,0)</f>
        <v>0</v>
      </c>
      <c r="N960" s="1">
        <f>+IF(DailyData[[#This Row],[Column2]]=0,0,DailyData[[#This Row],[Date]])</f>
        <v>0</v>
      </c>
    </row>
    <row r="961" spans="3:14" x14ac:dyDescent="0.25">
      <c r="C961" s="1">
        <v>45939</v>
      </c>
      <c r="D961" s="2" t="s">
        <v>17</v>
      </c>
      <c r="E961">
        <v>700000</v>
      </c>
      <c r="F961">
        <v>3.0000000000000001E-3</v>
      </c>
      <c r="G961">
        <v>3.0000000000000001E-3</v>
      </c>
      <c r="H961">
        <v>2E-3</v>
      </c>
      <c r="I961">
        <v>3.0000000000000001E-3</v>
      </c>
      <c r="J961">
        <v>344200</v>
      </c>
      <c r="K961">
        <v>2100</v>
      </c>
      <c r="L961">
        <f t="shared" si="15"/>
        <v>0</v>
      </c>
      <c r="M961">
        <f>+IF(DailyData[[#This Row],[Column1]]&gt;0,DailyData[[#This Row],[Column1]]-L948,0)</f>
        <v>0</v>
      </c>
      <c r="N961" s="1">
        <f>+IF(DailyData[[#This Row],[Column2]]=0,0,DailyData[[#This Row],[Date]])</f>
        <v>0</v>
      </c>
    </row>
    <row r="962" spans="3:14" x14ac:dyDescent="0.25">
      <c r="C962" s="1">
        <v>45939</v>
      </c>
      <c r="D962" s="2" t="s">
        <v>18</v>
      </c>
      <c r="E962">
        <v>9412</v>
      </c>
      <c r="F962">
        <v>0.28000000000000003</v>
      </c>
      <c r="G962">
        <v>0.3</v>
      </c>
      <c r="H962">
        <v>0.28000000000000003</v>
      </c>
      <c r="I962">
        <v>0.28999999999999998</v>
      </c>
      <c r="J962">
        <v>734437</v>
      </c>
      <c r="K962">
        <v>2729.48</v>
      </c>
      <c r="L962">
        <f t="shared" si="15"/>
        <v>0</v>
      </c>
      <c r="M962">
        <f>+IF(DailyData[[#This Row],[Column1]]&gt;0,DailyData[[#This Row],[Column1]]-L949,0)</f>
        <v>0</v>
      </c>
      <c r="N962" s="1">
        <f>+IF(DailyData[[#This Row],[Column2]]=0,0,DailyData[[#This Row],[Date]])</f>
        <v>0</v>
      </c>
    </row>
    <row r="963" spans="3:14" x14ac:dyDescent="0.25">
      <c r="C963" s="1">
        <v>45939</v>
      </c>
      <c r="D963" s="2" t="s">
        <v>19</v>
      </c>
      <c r="E963">
        <v>6000</v>
      </c>
      <c r="F963">
        <v>0.27</v>
      </c>
      <c r="G963">
        <v>0.27</v>
      </c>
      <c r="H963">
        <v>0.25</v>
      </c>
      <c r="I963">
        <v>0.26</v>
      </c>
      <c r="J963">
        <v>336491</v>
      </c>
      <c r="K963">
        <v>1560</v>
      </c>
      <c r="L963">
        <f t="shared" si="15"/>
        <v>0</v>
      </c>
      <c r="M963">
        <f>+IF(DailyData[[#This Row],[Column1]]&gt;0,DailyData[[#This Row],[Column1]]-L950,0)</f>
        <v>0</v>
      </c>
      <c r="N963" s="1">
        <f>+IF(DailyData[[#This Row],[Column2]]=0,0,DailyData[[#This Row],[Date]])</f>
        <v>0</v>
      </c>
    </row>
    <row r="964" spans="3:14" x14ac:dyDescent="0.25">
      <c r="C964" s="1">
        <v>45939</v>
      </c>
      <c r="D964" s="2" t="s">
        <v>20</v>
      </c>
      <c r="E964">
        <v>0</v>
      </c>
      <c r="F964">
        <v>39.19</v>
      </c>
      <c r="G964">
        <v>39.340000000000003</v>
      </c>
      <c r="H964">
        <v>38.94</v>
      </c>
      <c r="I964">
        <v>39.1</v>
      </c>
      <c r="J964">
        <v>4994930</v>
      </c>
      <c r="K964">
        <v>0</v>
      </c>
      <c r="L964">
        <f t="shared" si="15"/>
        <v>0</v>
      </c>
      <c r="M964">
        <f>+IF(DailyData[[#This Row],[Column1]]&gt;0,DailyData[[#This Row],[Column1]]-L951,0)</f>
        <v>0</v>
      </c>
      <c r="N964" s="1">
        <f>+IF(DailyData[[#This Row],[Column2]]=0,0,DailyData[[#This Row],[Date]])</f>
        <v>0</v>
      </c>
    </row>
    <row r="965" spans="3:14" x14ac:dyDescent="0.25">
      <c r="C965" s="1">
        <v>45939</v>
      </c>
      <c r="D965" s="2" t="s">
        <v>21</v>
      </c>
      <c r="E965">
        <v>1288</v>
      </c>
      <c r="F965">
        <v>22.97</v>
      </c>
      <c r="G965">
        <v>23</v>
      </c>
      <c r="H965">
        <v>22.71</v>
      </c>
      <c r="I965">
        <v>22.82</v>
      </c>
      <c r="J965">
        <v>3113470</v>
      </c>
      <c r="K965">
        <v>29392.16</v>
      </c>
      <c r="L965">
        <f t="shared" si="15"/>
        <v>1098087.3199999998</v>
      </c>
      <c r="M965">
        <f>+IF(DailyData[[#This Row],[Column1]]&gt;0,DailyData[[#This Row],[Column1]]-L952,0)</f>
        <v>21641.039999999804</v>
      </c>
      <c r="N965" s="1">
        <f>+IF(DailyData[[#This Row],[Column2]]=0,0,DailyData[[#This Row],[Date]])</f>
        <v>45939</v>
      </c>
    </row>
    <row r="966" spans="3:14" x14ac:dyDescent="0.25">
      <c r="C966" s="1">
        <v>45940</v>
      </c>
      <c r="D966" s="2" t="s">
        <v>9</v>
      </c>
      <c r="E966">
        <v>153181</v>
      </c>
      <c r="F966">
        <v>1.085</v>
      </c>
      <c r="G966">
        <v>1.1100000000000001</v>
      </c>
      <c r="H966">
        <v>1.0449999999999999</v>
      </c>
      <c r="I966">
        <v>1.075</v>
      </c>
      <c r="J966">
        <v>9361975</v>
      </c>
      <c r="K966">
        <v>164669.57999999999</v>
      </c>
      <c r="L966">
        <f t="shared" si="15"/>
        <v>0</v>
      </c>
      <c r="M966">
        <f>+IF(DailyData[[#This Row],[Column1]]&gt;0,DailyData[[#This Row],[Column1]]-L953,0)</f>
        <v>0</v>
      </c>
      <c r="N966" s="1">
        <f>+IF(DailyData[[#This Row],[Column2]]=0,0,DailyData[[#This Row],[Date]])</f>
        <v>0</v>
      </c>
    </row>
    <row r="967" spans="3:14" x14ac:dyDescent="0.25">
      <c r="C967" s="1">
        <v>45940</v>
      </c>
      <c r="D967" s="2" t="s">
        <v>10</v>
      </c>
      <c r="E967">
        <v>70000</v>
      </c>
      <c r="F967">
        <v>1.66</v>
      </c>
      <c r="G967">
        <v>1.6919999999999999</v>
      </c>
      <c r="H967">
        <v>1.66</v>
      </c>
      <c r="I967">
        <v>1.675</v>
      </c>
      <c r="J967">
        <v>3979039</v>
      </c>
      <c r="K967">
        <v>117250</v>
      </c>
      <c r="L967">
        <f t="shared" si="15"/>
        <v>0</v>
      </c>
      <c r="M967">
        <f>+IF(DailyData[[#This Row],[Column1]]&gt;0,DailyData[[#This Row],[Column1]]-L954,0)</f>
        <v>0</v>
      </c>
      <c r="N967" s="1">
        <f>+IF(DailyData[[#This Row],[Column2]]=0,0,DailyData[[#This Row],[Date]])</f>
        <v>0</v>
      </c>
    </row>
    <row r="968" spans="3:14" x14ac:dyDescent="0.25">
      <c r="C968" s="1">
        <v>45940</v>
      </c>
      <c r="D968" s="2" t="s">
        <v>11</v>
      </c>
      <c r="E968">
        <v>57458</v>
      </c>
      <c r="F968">
        <v>0.88</v>
      </c>
      <c r="G968">
        <v>0.93</v>
      </c>
      <c r="H968">
        <v>0.85499999999999998</v>
      </c>
      <c r="I968">
        <v>0.91500000000000004</v>
      </c>
      <c r="J968">
        <v>1158556</v>
      </c>
      <c r="K968">
        <v>52574.07</v>
      </c>
      <c r="L968">
        <f t="shared" si="15"/>
        <v>0</v>
      </c>
      <c r="M968">
        <f>+IF(DailyData[[#This Row],[Column1]]&gt;0,DailyData[[#This Row],[Column1]]-L955,0)</f>
        <v>0</v>
      </c>
      <c r="N968" s="1">
        <f>+IF(DailyData[[#This Row],[Column2]]=0,0,DailyData[[#This Row],[Date]])</f>
        <v>0</v>
      </c>
    </row>
    <row r="969" spans="3:14" x14ac:dyDescent="0.25">
      <c r="C969" s="1">
        <v>45940</v>
      </c>
      <c r="D969" s="2" t="s">
        <v>12</v>
      </c>
      <c r="E969">
        <v>16361</v>
      </c>
      <c r="F969">
        <v>42.88</v>
      </c>
      <c r="G969">
        <v>42.9</v>
      </c>
      <c r="H969">
        <v>42.16</v>
      </c>
      <c r="I969">
        <v>42.22</v>
      </c>
      <c r="J969">
        <v>10040660</v>
      </c>
      <c r="K969">
        <v>690761.44</v>
      </c>
      <c r="L969">
        <f t="shared" si="15"/>
        <v>0</v>
      </c>
      <c r="M969">
        <f>+IF(DailyData[[#This Row],[Column1]]&gt;0,DailyData[[#This Row],[Column1]]-L956,0)</f>
        <v>0</v>
      </c>
      <c r="N969" s="1">
        <f>+IF(DailyData[[#This Row],[Column2]]=0,0,DailyData[[#This Row],[Date]])</f>
        <v>0</v>
      </c>
    </row>
    <row r="970" spans="3:14" x14ac:dyDescent="0.25">
      <c r="C970" s="1">
        <v>45940</v>
      </c>
      <c r="D970" s="2" t="s">
        <v>13</v>
      </c>
      <c r="E970">
        <v>44090</v>
      </c>
      <c r="F970">
        <v>1.4999999999999999E-2</v>
      </c>
      <c r="G970">
        <v>1.6E-2</v>
      </c>
      <c r="H970">
        <v>1.4E-2</v>
      </c>
      <c r="I970">
        <v>1.4999999999999999E-2</v>
      </c>
      <c r="J970">
        <v>1583758</v>
      </c>
      <c r="K970">
        <v>661.35</v>
      </c>
      <c r="L970">
        <f t="shared" si="15"/>
        <v>0</v>
      </c>
      <c r="M970">
        <f>+IF(DailyData[[#This Row],[Column1]]&gt;0,DailyData[[#This Row],[Column1]]-L957,0)</f>
        <v>0</v>
      </c>
      <c r="N970" s="1">
        <f>+IF(DailyData[[#This Row],[Column2]]=0,0,DailyData[[#This Row],[Date]])</f>
        <v>0</v>
      </c>
    </row>
    <row r="971" spans="3:14" x14ac:dyDescent="0.25">
      <c r="C971" s="1">
        <v>45940</v>
      </c>
      <c r="D971" s="2" t="s">
        <v>14</v>
      </c>
      <c r="E971">
        <v>0</v>
      </c>
      <c r="F971">
        <v>167.67</v>
      </c>
      <c r="G971">
        <v>169.2</v>
      </c>
      <c r="H971">
        <v>167.35</v>
      </c>
      <c r="I971">
        <v>168.34</v>
      </c>
      <c r="J971">
        <v>1481754</v>
      </c>
      <c r="K971">
        <v>0</v>
      </c>
      <c r="L971">
        <f t="shared" si="15"/>
        <v>0</v>
      </c>
      <c r="M971">
        <f>+IF(DailyData[[#This Row],[Column1]]&gt;0,DailyData[[#This Row],[Column1]]-L958,0)</f>
        <v>0</v>
      </c>
      <c r="N971" s="1">
        <f>+IF(DailyData[[#This Row],[Column2]]=0,0,DailyData[[#This Row],[Date]])</f>
        <v>0</v>
      </c>
    </row>
    <row r="972" spans="3:14" x14ac:dyDescent="0.25">
      <c r="C972" s="1">
        <v>45940</v>
      </c>
      <c r="D972" s="2" t="s">
        <v>15</v>
      </c>
      <c r="E972">
        <v>10000</v>
      </c>
      <c r="F972">
        <v>0.47499999999999998</v>
      </c>
      <c r="G972">
        <v>0.495</v>
      </c>
      <c r="H972">
        <v>0.45</v>
      </c>
      <c r="I972">
        <v>0.47499999999999998</v>
      </c>
      <c r="J972">
        <v>1330783</v>
      </c>
      <c r="K972">
        <v>4750</v>
      </c>
      <c r="L972">
        <f t="shared" si="15"/>
        <v>0</v>
      </c>
      <c r="M972">
        <f>+IF(DailyData[[#This Row],[Column1]]&gt;0,DailyData[[#This Row],[Column1]]-L959,0)</f>
        <v>0</v>
      </c>
      <c r="N972" s="1">
        <f>+IF(DailyData[[#This Row],[Column2]]=0,0,DailyData[[#This Row],[Date]])</f>
        <v>0</v>
      </c>
    </row>
    <row r="973" spans="3:14" x14ac:dyDescent="0.25">
      <c r="C973" s="1">
        <v>45940</v>
      </c>
      <c r="D973" s="2" t="s">
        <v>16</v>
      </c>
      <c r="E973">
        <v>20000</v>
      </c>
      <c r="F973">
        <v>0.32</v>
      </c>
      <c r="G973">
        <v>0.33500000000000002</v>
      </c>
      <c r="H973">
        <v>0.315</v>
      </c>
      <c r="I973">
        <v>0.32500000000000001</v>
      </c>
      <c r="J973">
        <v>238045</v>
      </c>
      <c r="K973">
        <v>6500</v>
      </c>
      <c r="L973">
        <f t="shared" si="15"/>
        <v>0</v>
      </c>
      <c r="M973">
        <f>+IF(DailyData[[#This Row],[Column1]]&gt;0,DailyData[[#This Row],[Column1]]-L960,0)</f>
        <v>0</v>
      </c>
      <c r="N973" s="1">
        <f>+IF(DailyData[[#This Row],[Column2]]=0,0,DailyData[[#This Row],[Date]])</f>
        <v>0</v>
      </c>
    </row>
    <row r="974" spans="3:14" x14ac:dyDescent="0.25">
      <c r="C974" s="1">
        <v>45940</v>
      </c>
      <c r="D974" s="2" t="s">
        <v>17</v>
      </c>
      <c r="E974">
        <v>700000</v>
      </c>
      <c r="F974">
        <v>2E-3</v>
      </c>
      <c r="G974">
        <v>2E-3</v>
      </c>
      <c r="H974">
        <v>2E-3</v>
      </c>
      <c r="I974">
        <v>2E-3</v>
      </c>
      <c r="J974">
        <v>1097144</v>
      </c>
      <c r="K974">
        <v>1750</v>
      </c>
      <c r="L974">
        <f t="shared" si="15"/>
        <v>0</v>
      </c>
      <c r="M974">
        <f>+IF(DailyData[[#This Row],[Column1]]&gt;0,DailyData[[#This Row],[Column1]]-L961,0)</f>
        <v>0</v>
      </c>
      <c r="N974" s="1">
        <f>+IF(DailyData[[#This Row],[Column2]]=0,0,DailyData[[#This Row],[Date]])</f>
        <v>0</v>
      </c>
    </row>
    <row r="975" spans="3:14" x14ac:dyDescent="0.25">
      <c r="C975" s="1">
        <v>45940</v>
      </c>
      <c r="D975" s="2" t="s">
        <v>18</v>
      </c>
      <c r="E975">
        <v>9412</v>
      </c>
      <c r="F975">
        <v>0.29499999999999998</v>
      </c>
      <c r="G975">
        <v>0.32700000000000001</v>
      </c>
      <c r="H975">
        <v>0.29499999999999998</v>
      </c>
      <c r="I975">
        <v>0.315</v>
      </c>
      <c r="J975">
        <v>614837</v>
      </c>
      <c r="K975">
        <v>2964.78</v>
      </c>
      <c r="L975">
        <f t="shared" si="15"/>
        <v>0</v>
      </c>
      <c r="M975">
        <f>+IF(DailyData[[#This Row],[Column1]]&gt;0,DailyData[[#This Row],[Column1]]-L962,0)</f>
        <v>0</v>
      </c>
      <c r="N975" s="1">
        <f>+IF(DailyData[[#This Row],[Column2]]=0,0,DailyData[[#This Row],[Date]])</f>
        <v>0</v>
      </c>
    </row>
    <row r="976" spans="3:14" x14ac:dyDescent="0.25">
      <c r="C976" s="1">
        <v>45940</v>
      </c>
      <c r="D976" s="2" t="s">
        <v>19</v>
      </c>
      <c r="E976">
        <v>6000</v>
      </c>
      <c r="F976">
        <v>0.27</v>
      </c>
      <c r="G976">
        <v>0.34</v>
      </c>
      <c r="H976">
        <v>0.27</v>
      </c>
      <c r="I976">
        <v>0.28999999999999998</v>
      </c>
      <c r="J976">
        <v>1909570</v>
      </c>
      <c r="K976">
        <v>1740</v>
      </c>
      <c r="L976">
        <f t="shared" si="15"/>
        <v>0</v>
      </c>
      <c r="M976">
        <f>+IF(DailyData[[#This Row],[Column1]]&gt;0,DailyData[[#This Row],[Column1]]-L963,0)</f>
        <v>0</v>
      </c>
      <c r="N976" s="1">
        <f>+IF(DailyData[[#This Row],[Column2]]=0,0,DailyData[[#This Row],[Date]])</f>
        <v>0</v>
      </c>
    </row>
    <row r="977" spans="3:14" x14ac:dyDescent="0.25">
      <c r="C977" s="1">
        <v>45940</v>
      </c>
      <c r="D977" s="2" t="s">
        <v>20</v>
      </c>
      <c r="E977">
        <v>0</v>
      </c>
      <c r="F977">
        <v>39.1</v>
      </c>
      <c r="G977">
        <v>39.39</v>
      </c>
      <c r="H977">
        <v>38.950000000000003</v>
      </c>
      <c r="I977">
        <v>39.21</v>
      </c>
      <c r="J977">
        <v>3894486</v>
      </c>
      <c r="K977">
        <v>0</v>
      </c>
      <c r="L977">
        <f t="shared" ref="L977:L1040" si="16">+IF(C978&lt;&gt;C977,SUM(K965:K977),0)</f>
        <v>0</v>
      </c>
      <c r="M977">
        <f>+IF(DailyData[[#This Row],[Column1]]&gt;0,DailyData[[#This Row],[Column1]]-L964,0)</f>
        <v>0</v>
      </c>
      <c r="N977" s="1">
        <f>+IF(DailyData[[#This Row],[Column2]]=0,0,DailyData[[#This Row],[Date]])</f>
        <v>0</v>
      </c>
    </row>
    <row r="978" spans="3:14" x14ac:dyDescent="0.25">
      <c r="C978" s="1">
        <v>45940</v>
      </c>
      <c r="D978" s="2" t="s">
        <v>21</v>
      </c>
      <c r="E978">
        <v>1288</v>
      </c>
      <c r="F978">
        <v>22.65</v>
      </c>
      <c r="G978">
        <v>22.7</v>
      </c>
      <c r="H978">
        <v>22.484999999999999</v>
      </c>
      <c r="I978">
        <v>22.55</v>
      </c>
      <c r="J978">
        <v>5681249</v>
      </c>
      <c r="K978">
        <v>29044.400000000001</v>
      </c>
      <c r="L978">
        <f t="shared" si="16"/>
        <v>1072665.6199999999</v>
      </c>
      <c r="M978">
        <f>+IF(DailyData[[#This Row],[Column1]]&gt;0,DailyData[[#This Row],[Column1]]-L965,0)</f>
        <v>-25421.699999999953</v>
      </c>
      <c r="N978" s="1">
        <f>+IF(DailyData[[#This Row],[Column2]]=0,0,DailyData[[#This Row],[Date]])</f>
        <v>45940</v>
      </c>
    </row>
    <row r="979" spans="3:14" x14ac:dyDescent="0.25">
      <c r="C979" s="1">
        <v>45943</v>
      </c>
      <c r="D979" s="2" t="s">
        <v>9</v>
      </c>
      <c r="E979">
        <v>153181</v>
      </c>
      <c r="F979">
        <v>1.095</v>
      </c>
      <c r="G979">
        <v>1.19</v>
      </c>
      <c r="H979">
        <v>1.0900000000000001</v>
      </c>
      <c r="I979">
        <v>1.1299999999999999</v>
      </c>
      <c r="J979">
        <v>12754571</v>
      </c>
      <c r="K979">
        <v>173094.53</v>
      </c>
      <c r="L979">
        <f t="shared" si="16"/>
        <v>0</v>
      </c>
      <c r="M979">
        <f>+IF(DailyData[[#This Row],[Column1]]&gt;0,DailyData[[#This Row],[Column1]]-L966,0)</f>
        <v>0</v>
      </c>
      <c r="N979" s="1">
        <f>+IF(DailyData[[#This Row],[Column2]]=0,0,DailyData[[#This Row],[Date]])</f>
        <v>0</v>
      </c>
    </row>
    <row r="980" spans="3:14" x14ac:dyDescent="0.25">
      <c r="C980" s="1">
        <v>45943</v>
      </c>
      <c r="D980" s="2" t="s">
        <v>10</v>
      </c>
      <c r="E980">
        <v>70000</v>
      </c>
      <c r="F980">
        <v>1.66</v>
      </c>
      <c r="G980">
        <v>1.7</v>
      </c>
      <c r="H980">
        <v>1.655</v>
      </c>
      <c r="I980">
        <v>1.69</v>
      </c>
      <c r="J980">
        <v>5602288</v>
      </c>
      <c r="K980">
        <v>118300</v>
      </c>
      <c r="L980">
        <f t="shared" si="16"/>
        <v>0</v>
      </c>
      <c r="M980">
        <f>+IF(DailyData[[#This Row],[Column1]]&gt;0,DailyData[[#This Row],[Column1]]-L967,0)</f>
        <v>0</v>
      </c>
      <c r="N980" s="1">
        <f>+IF(DailyData[[#This Row],[Column2]]=0,0,DailyData[[#This Row],[Date]])</f>
        <v>0</v>
      </c>
    </row>
    <row r="981" spans="3:14" x14ac:dyDescent="0.25">
      <c r="C981" s="1">
        <v>45943</v>
      </c>
      <c r="D981" s="2" t="s">
        <v>11</v>
      </c>
      <c r="E981">
        <v>57458</v>
      </c>
      <c r="F981">
        <v>0.97499999999999998</v>
      </c>
      <c r="G981">
        <v>1.3</v>
      </c>
      <c r="H981">
        <v>0.97</v>
      </c>
      <c r="I981">
        <v>1.19</v>
      </c>
      <c r="J981">
        <v>5617326</v>
      </c>
      <c r="K981">
        <v>68375.02</v>
      </c>
      <c r="L981">
        <f t="shared" si="16"/>
        <v>0</v>
      </c>
      <c r="M981">
        <f>+IF(DailyData[[#This Row],[Column1]]&gt;0,DailyData[[#This Row],[Column1]]-L968,0)</f>
        <v>0</v>
      </c>
      <c r="N981" s="1">
        <f>+IF(DailyData[[#This Row],[Column2]]=0,0,DailyData[[#This Row],[Date]])</f>
        <v>0</v>
      </c>
    </row>
    <row r="982" spans="3:14" x14ac:dyDescent="0.25">
      <c r="C982" s="1">
        <v>45943</v>
      </c>
      <c r="D982" s="2" t="s">
        <v>12</v>
      </c>
      <c r="E982">
        <v>16361</v>
      </c>
      <c r="F982">
        <v>41.86</v>
      </c>
      <c r="G982">
        <v>42.07</v>
      </c>
      <c r="H982">
        <v>41.52</v>
      </c>
      <c r="I982">
        <v>41.89</v>
      </c>
      <c r="J982">
        <v>8378334</v>
      </c>
      <c r="K982">
        <v>685362.28</v>
      </c>
      <c r="L982">
        <f t="shared" si="16"/>
        <v>0</v>
      </c>
      <c r="M982">
        <f>+IF(DailyData[[#This Row],[Column1]]&gt;0,DailyData[[#This Row],[Column1]]-L969,0)</f>
        <v>0</v>
      </c>
      <c r="N982" s="1">
        <f>+IF(DailyData[[#This Row],[Column2]]=0,0,DailyData[[#This Row],[Date]])</f>
        <v>0</v>
      </c>
    </row>
    <row r="983" spans="3:14" x14ac:dyDescent="0.25">
      <c r="C983" s="1">
        <v>45943</v>
      </c>
      <c r="D983" s="2" t="s">
        <v>13</v>
      </c>
      <c r="E983">
        <v>44090</v>
      </c>
      <c r="F983">
        <v>1.4999999999999999E-2</v>
      </c>
      <c r="G983">
        <v>1.4999999999999999E-2</v>
      </c>
      <c r="H983">
        <v>1.4999999999999999E-2</v>
      </c>
      <c r="I983">
        <v>1.4999999999999999E-2</v>
      </c>
      <c r="J983">
        <v>1117167</v>
      </c>
      <c r="K983">
        <v>683.39</v>
      </c>
      <c r="L983">
        <f t="shared" si="16"/>
        <v>0</v>
      </c>
      <c r="M983">
        <f>+IF(DailyData[[#This Row],[Column1]]&gt;0,DailyData[[#This Row],[Column1]]-L970,0)</f>
        <v>0</v>
      </c>
      <c r="N983" s="1">
        <f>+IF(DailyData[[#This Row],[Column2]]=0,0,DailyData[[#This Row],[Date]])</f>
        <v>0</v>
      </c>
    </row>
    <row r="984" spans="3:14" x14ac:dyDescent="0.25">
      <c r="C984" s="1">
        <v>45943</v>
      </c>
      <c r="D984" s="2" t="s">
        <v>14</v>
      </c>
      <c r="E984">
        <v>0</v>
      </c>
      <c r="F984">
        <v>167.8</v>
      </c>
      <c r="G984">
        <v>168.33</v>
      </c>
      <c r="H984">
        <v>164.84</v>
      </c>
      <c r="I984">
        <v>165.19</v>
      </c>
      <c r="J984">
        <v>1294090</v>
      </c>
      <c r="K984">
        <v>0</v>
      </c>
      <c r="L984">
        <f t="shared" si="16"/>
        <v>0</v>
      </c>
      <c r="M984">
        <f>+IF(DailyData[[#This Row],[Column1]]&gt;0,DailyData[[#This Row],[Column1]]-L971,0)</f>
        <v>0</v>
      </c>
      <c r="N984" s="1">
        <f>+IF(DailyData[[#This Row],[Column2]]=0,0,DailyData[[#This Row],[Date]])</f>
        <v>0</v>
      </c>
    </row>
    <row r="985" spans="3:14" x14ac:dyDescent="0.25">
      <c r="C985" s="1">
        <v>45943</v>
      </c>
      <c r="D985" s="2" t="s">
        <v>15</v>
      </c>
      <c r="E985">
        <v>10000</v>
      </c>
      <c r="F985">
        <v>0.45</v>
      </c>
      <c r="G985">
        <v>0.47499999999999998</v>
      </c>
      <c r="H985">
        <v>0.43</v>
      </c>
      <c r="I985">
        <v>0.44</v>
      </c>
      <c r="J985">
        <v>810652</v>
      </c>
      <c r="K985">
        <v>4400</v>
      </c>
      <c r="L985">
        <f t="shared" si="16"/>
        <v>0</v>
      </c>
      <c r="M985">
        <f>+IF(DailyData[[#This Row],[Column1]]&gt;0,DailyData[[#This Row],[Column1]]-L972,0)</f>
        <v>0</v>
      </c>
      <c r="N985" s="1">
        <f>+IF(DailyData[[#This Row],[Column2]]=0,0,DailyData[[#This Row],[Date]])</f>
        <v>0</v>
      </c>
    </row>
    <row r="986" spans="3:14" x14ac:dyDescent="0.25">
      <c r="C986" s="1">
        <v>45943</v>
      </c>
      <c r="D986" s="2" t="s">
        <v>16</v>
      </c>
      <c r="E986">
        <v>20000</v>
      </c>
      <c r="F986">
        <v>0.32500000000000001</v>
      </c>
      <c r="G986">
        <v>0.33</v>
      </c>
      <c r="H986">
        <v>0.32</v>
      </c>
      <c r="I986">
        <v>0.32500000000000001</v>
      </c>
      <c r="J986">
        <v>349642</v>
      </c>
      <c r="K986">
        <v>6500</v>
      </c>
      <c r="L986">
        <f t="shared" si="16"/>
        <v>0</v>
      </c>
      <c r="M986">
        <f>+IF(DailyData[[#This Row],[Column1]]&gt;0,DailyData[[#This Row],[Column1]]-L973,0)</f>
        <v>0</v>
      </c>
      <c r="N986" s="1">
        <f>+IF(DailyData[[#This Row],[Column2]]=0,0,DailyData[[#This Row],[Date]])</f>
        <v>0</v>
      </c>
    </row>
    <row r="987" spans="3:14" x14ac:dyDescent="0.25">
      <c r="C987" s="1">
        <v>45943</v>
      </c>
      <c r="D987" s="2" t="s">
        <v>17</v>
      </c>
      <c r="E987">
        <v>700000</v>
      </c>
      <c r="F987">
        <v>2E-3</v>
      </c>
      <c r="G987">
        <v>2E-3</v>
      </c>
      <c r="H987">
        <v>2E-3</v>
      </c>
      <c r="I987">
        <v>2E-3</v>
      </c>
      <c r="J987">
        <v>753239</v>
      </c>
      <c r="K987">
        <v>1750</v>
      </c>
      <c r="L987">
        <f t="shared" si="16"/>
        <v>0</v>
      </c>
      <c r="M987">
        <f>+IF(DailyData[[#This Row],[Column1]]&gt;0,DailyData[[#This Row],[Column1]]-L974,0)</f>
        <v>0</v>
      </c>
      <c r="N987" s="1">
        <f>+IF(DailyData[[#This Row],[Column2]]=0,0,DailyData[[#This Row],[Date]])</f>
        <v>0</v>
      </c>
    </row>
    <row r="988" spans="3:14" x14ac:dyDescent="0.25">
      <c r="C988" s="1">
        <v>45943</v>
      </c>
      <c r="D988" s="2" t="s">
        <v>18</v>
      </c>
      <c r="E988">
        <v>9412</v>
      </c>
      <c r="F988">
        <v>0.32</v>
      </c>
      <c r="G988">
        <v>0.33</v>
      </c>
      <c r="H988">
        <v>0.32</v>
      </c>
      <c r="I988">
        <v>0.32</v>
      </c>
      <c r="J988">
        <v>590564</v>
      </c>
      <c r="K988">
        <v>3011.84</v>
      </c>
      <c r="L988">
        <f t="shared" si="16"/>
        <v>0</v>
      </c>
      <c r="M988">
        <f>+IF(DailyData[[#This Row],[Column1]]&gt;0,DailyData[[#This Row],[Column1]]-L975,0)</f>
        <v>0</v>
      </c>
      <c r="N988" s="1">
        <f>+IF(DailyData[[#This Row],[Column2]]=0,0,DailyData[[#This Row],[Date]])</f>
        <v>0</v>
      </c>
    </row>
    <row r="989" spans="3:14" x14ac:dyDescent="0.25">
      <c r="C989" s="1">
        <v>45943</v>
      </c>
      <c r="D989" s="2" t="s">
        <v>19</v>
      </c>
      <c r="E989">
        <v>6000</v>
      </c>
      <c r="F989">
        <v>0.34</v>
      </c>
      <c r="G989">
        <v>0.34</v>
      </c>
      <c r="H989">
        <v>0.3</v>
      </c>
      <c r="I989">
        <v>0.32</v>
      </c>
      <c r="J989">
        <v>1967199</v>
      </c>
      <c r="K989">
        <v>1920</v>
      </c>
      <c r="L989">
        <f t="shared" si="16"/>
        <v>0</v>
      </c>
      <c r="M989">
        <f>+IF(DailyData[[#This Row],[Column1]]&gt;0,DailyData[[#This Row],[Column1]]-L976,0)</f>
        <v>0</v>
      </c>
      <c r="N989" s="1">
        <f>+IF(DailyData[[#This Row],[Column2]]=0,0,DailyData[[#This Row],[Date]])</f>
        <v>0</v>
      </c>
    </row>
    <row r="990" spans="3:14" x14ac:dyDescent="0.25">
      <c r="C990" s="1">
        <v>45943</v>
      </c>
      <c r="D990" s="2" t="s">
        <v>20</v>
      </c>
      <c r="E990">
        <v>0</v>
      </c>
      <c r="F990">
        <v>39.1</v>
      </c>
      <c r="G990">
        <v>39.24</v>
      </c>
      <c r="H990">
        <v>38.729999999999997</v>
      </c>
      <c r="I990">
        <v>38.840000000000003</v>
      </c>
      <c r="J990">
        <v>2749348</v>
      </c>
      <c r="K990">
        <v>0</v>
      </c>
      <c r="L990">
        <f t="shared" si="16"/>
        <v>0</v>
      </c>
      <c r="M990">
        <f>+IF(DailyData[[#This Row],[Column1]]&gt;0,DailyData[[#This Row],[Column1]]-L977,0)</f>
        <v>0</v>
      </c>
      <c r="N990" s="1">
        <f>+IF(DailyData[[#This Row],[Column2]]=0,0,DailyData[[#This Row],[Date]])</f>
        <v>0</v>
      </c>
    </row>
    <row r="991" spans="3:14" x14ac:dyDescent="0.25">
      <c r="C991" s="1">
        <v>45943</v>
      </c>
      <c r="D991" s="2" t="s">
        <v>21</v>
      </c>
      <c r="E991">
        <v>1288</v>
      </c>
      <c r="F991">
        <v>22.11</v>
      </c>
      <c r="G991">
        <v>22.27</v>
      </c>
      <c r="H991">
        <v>21.96</v>
      </c>
      <c r="I991">
        <v>22.27</v>
      </c>
      <c r="J991">
        <v>4101182</v>
      </c>
      <c r="K991">
        <v>28683.759999999998</v>
      </c>
      <c r="L991">
        <f t="shared" si="16"/>
        <v>1092080.8200000003</v>
      </c>
      <c r="M991">
        <f>+IF(DailyData[[#This Row],[Column1]]&gt;0,DailyData[[#This Row],[Column1]]-L978,0)</f>
        <v>19415.200000000419</v>
      </c>
      <c r="N991" s="1">
        <f>+IF(DailyData[[#This Row],[Column2]]=0,0,DailyData[[#This Row],[Date]])</f>
        <v>45943</v>
      </c>
    </row>
    <row r="992" spans="3:14" x14ac:dyDescent="0.25">
      <c r="C992" s="1">
        <v>45944</v>
      </c>
      <c r="D992" s="2" t="s">
        <v>9</v>
      </c>
      <c r="E992">
        <v>153181</v>
      </c>
      <c r="F992">
        <v>1.19</v>
      </c>
      <c r="G992">
        <v>1.2250000000000001</v>
      </c>
      <c r="H992">
        <v>1.173</v>
      </c>
      <c r="I992">
        <v>1.18</v>
      </c>
      <c r="J992">
        <v>9131462</v>
      </c>
      <c r="K992">
        <v>180753.57</v>
      </c>
      <c r="L992">
        <f t="shared" si="16"/>
        <v>0</v>
      </c>
      <c r="M992">
        <f>+IF(DailyData[[#This Row],[Column1]]&gt;0,DailyData[[#This Row],[Column1]]-L979,0)</f>
        <v>0</v>
      </c>
      <c r="N992" s="1">
        <f>+IF(DailyData[[#This Row],[Column2]]=0,0,DailyData[[#This Row],[Date]])</f>
        <v>0</v>
      </c>
    </row>
    <row r="993" spans="3:14" x14ac:dyDescent="0.25">
      <c r="C993" s="1">
        <v>45944</v>
      </c>
      <c r="D993" s="2" t="s">
        <v>10</v>
      </c>
      <c r="E993">
        <v>70000</v>
      </c>
      <c r="F993">
        <v>1.6850000000000001</v>
      </c>
      <c r="G993">
        <v>1.73</v>
      </c>
      <c r="H993">
        <v>1.6850000000000001</v>
      </c>
      <c r="I993">
        <v>1.73</v>
      </c>
      <c r="J993">
        <v>6676075</v>
      </c>
      <c r="K993">
        <v>121100</v>
      </c>
      <c r="L993">
        <f t="shared" si="16"/>
        <v>0</v>
      </c>
      <c r="M993">
        <f>+IF(DailyData[[#This Row],[Column1]]&gt;0,DailyData[[#This Row],[Column1]]-L980,0)</f>
        <v>0</v>
      </c>
      <c r="N993" s="1">
        <f>+IF(DailyData[[#This Row],[Column2]]=0,0,DailyData[[#This Row],[Date]])</f>
        <v>0</v>
      </c>
    </row>
    <row r="994" spans="3:14" x14ac:dyDescent="0.25">
      <c r="C994" s="1">
        <v>45944</v>
      </c>
      <c r="D994" s="2" t="s">
        <v>11</v>
      </c>
      <c r="E994">
        <v>57458</v>
      </c>
      <c r="F994">
        <v>1.4</v>
      </c>
      <c r="G994">
        <v>2.02</v>
      </c>
      <c r="H994">
        <v>1.37</v>
      </c>
      <c r="I994">
        <v>1.9950000000000001</v>
      </c>
      <c r="J994">
        <v>9378721</v>
      </c>
      <c r="K994">
        <v>114628.71</v>
      </c>
      <c r="L994">
        <f t="shared" si="16"/>
        <v>0</v>
      </c>
      <c r="M994">
        <f>+IF(DailyData[[#This Row],[Column1]]&gt;0,DailyData[[#This Row],[Column1]]-L981,0)</f>
        <v>0</v>
      </c>
      <c r="N994" s="1">
        <f>+IF(DailyData[[#This Row],[Column2]]=0,0,DailyData[[#This Row],[Date]])</f>
        <v>0</v>
      </c>
    </row>
    <row r="995" spans="3:14" x14ac:dyDescent="0.25">
      <c r="C995" s="1">
        <v>45944</v>
      </c>
      <c r="D995" s="2" t="s">
        <v>12</v>
      </c>
      <c r="E995">
        <v>16361</v>
      </c>
      <c r="F995">
        <v>42.56</v>
      </c>
      <c r="G995">
        <v>43.12</v>
      </c>
      <c r="H995">
        <v>42.43</v>
      </c>
      <c r="I995">
        <v>42.79</v>
      </c>
      <c r="J995">
        <v>9509568</v>
      </c>
      <c r="K995">
        <v>700087.2</v>
      </c>
      <c r="L995">
        <f t="shared" si="16"/>
        <v>0</v>
      </c>
      <c r="M995">
        <f>+IF(DailyData[[#This Row],[Column1]]&gt;0,DailyData[[#This Row],[Column1]]-L982,0)</f>
        <v>0</v>
      </c>
      <c r="N995" s="1">
        <f>+IF(DailyData[[#This Row],[Column2]]=0,0,DailyData[[#This Row],[Date]])</f>
        <v>0</v>
      </c>
    </row>
    <row r="996" spans="3:14" x14ac:dyDescent="0.25">
      <c r="C996" s="1">
        <v>45944</v>
      </c>
      <c r="D996" s="2" t="s">
        <v>13</v>
      </c>
      <c r="E996">
        <v>44090</v>
      </c>
      <c r="F996">
        <v>1.4999999999999999E-2</v>
      </c>
      <c r="G996">
        <v>1.7000000000000001E-2</v>
      </c>
      <c r="H996">
        <v>1.4999999999999999E-2</v>
      </c>
      <c r="I996">
        <v>1.4999999999999999E-2</v>
      </c>
      <c r="J996">
        <v>1697446</v>
      </c>
      <c r="K996">
        <v>661.35</v>
      </c>
      <c r="L996">
        <f t="shared" si="16"/>
        <v>0</v>
      </c>
      <c r="M996">
        <f>+IF(DailyData[[#This Row],[Column1]]&gt;0,DailyData[[#This Row],[Column1]]-L983,0)</f>
        <v>0</v>
      </c>
      <c r="N996" s="1">
        <f>+IF(DailyData[[#This Row],[Column2]]=0,0,DailyData[[#This Row],[Date]])</f>
        <v>0</v>
      </c>
    </row>
    <row r="997" spans="3:14" x14ac:dyDescent="0.25">
      <c r="C997" s="1">
        <v>45944</v>
      </c>
      <c r="D997" s="2" t="s">
        <v>14</v>
      </c>
      <c r="E997">
        <v>0</v>
      </c>
      <c r="F997">
        <v>164.9</v>
      </c>
      <c r="G997">
        <v>165</v>
      </c>
      <c r="H997">
        <v>161.82</v>
      </c>
      <c r="I997">
        <v>164.4</v>
      </c>
      <c r="J997">
        <v>1900819</v>
      </c>
      <c r="K997">
        <v>0</v>
      </c>
      <c r="L997">
        <f t="shared" si="16"/>
        <v>0</v>
      </c>
      <c r="M997">
        <f>+IF(DailyData[[#This Row],[Column1]]&gt;0,DailyData[[#This Row],[Column1]]-L984,0)</f>
        <v>0</v>
      </c>
      <c r="N997" s="1">
        <f>+IF(DailyData[[#This Row],[Column2]]=0,0,DailyData[[#This Row],[Date]])</f>
        <v>0</v>
      </c>
    </row>
    <row r="998" spans="3:14" x14ac:dyDescent="0.25">
      <c r="C998" s="1">
        <v>45944</v>
      </c>
      <c r="D998" s="2" t="s">
        <v>15</v>
      </c>
      <c r="E998">
        <v>10000</v>
      </c>
      <c r="F998">
        <v>0.47</v>
      </c>
      <c r="G998">
        <v>0.51</v>
      </c>
      <c r="H998">
        <v>0.45</v>
      </c>
      <c r="I998">
        <v>0.48499999999999999</v>
      </c>
      <c r="J998">
        <v>1505507</v>
      </c>
      <c r="K998">
        <v>4850</v>
      </c>
      <c r="L998">
        <f t="shared" si="16"/>
        <v>0</v>
      </c>
      <c r="M998">
        <f>+IF(DailyData[[#This Row],[Column1]]&gt;0,DailyData[[#This Row],[Column1]]-L985,0)</f>
        <v>0</v>
      </c>
      <c r="N998" s="1">
        <f>+IF(DailyData[[#This Row],[Column2]]=0,0,DailyData[[#This Row],[Date]])</f>
        <v>0</v>
      </c>
    </row>
    <row r="999" spans="3:14" x14ac:dyDescent="0.25">
      <c r="C999" s="1">
        <v>45944</v>
      </c>
      <c r="D999" s="2" t="s">
        <v>16</v>
      </c>
      <c r="E999">
        <v>20000</v>
      </c>
      <c r="F999">
        <v>0.34</v>
      </c>
      <c r="G999">
        <v>0.39</v>
      </c>
      <c r="H999">
        <v>0.33500000000000002</v>
      </c>
      <c r="I999">
        <v>0.38500000000000001</v>
      </c>
      <c r="J999">
        <v>1874811</v>
      </c>
      <c r="K999">
        <v>7700</v>
      </c>
      <c r="L999">
        <f t="shared" si="16"/>
        <v>0</v>
      </c>
      <c r="M999">
        <f>+IF(DailyData[[#This Row],[Column1]]&gt;0,DailyData[[#This Row],[Column1]]-L986,0)</f>
        <v>0</v>
      </c>
      <c r="N999" s="1">
        <f>+IF(DailyData[[#This Row],[Column2]]=0,0,DailyData[[#This Row],[Date]])</f>
        <v>0</v>
      </c>
    </row>
    <row r="1000" spans="3:14" x14ac:dyDescent="0.25">
      <c r="C1000" s="1">
        <v>45944</v>
      </c>
      <c r="D1000" s="2" t="s">
        <v>17</v>
      </c>
      <c r="E1000">
        <v>700000</v>
      </c>
      <c r="F1000">
        <v>3.0000000000000001E-3</v>
      </c>
      <c r="G1000">
        <v>3.0000000000000001E-3</v>
      </c>
      <c r="H1000">
        <v>2E-3</v>
      </c>
      <c r="I1000">
        <v>2E-3</v>
      </c>
      <c r="J1000">
        <v>457206</v>
      </c>
      <c r="K1000">
        <v>1750</v>
      </c>
      <c r="L1000">
        <f t="shared" si="16"/>
        <v>0</v>
      </c>
      <c r="M1000">
        <f>+IF(DailyData[[#This Row],[Column1]]&gt;0,DailyData[[#This Row],[Column1]]-L987,0)</f>
        <v>0</v>
      </c>
      <c r="N1000" s="1">
        <f>+IF(DailyData[[#This Row],[Column2]]=0,0,DailyData[[#This Row],[Date]])</f>
        <v>0</v>
      </c>
    </row>
    <row r="1001" spans="3:14" x14ac:dyDescent="0.25">
      <c r="C1001" s="1">
        <v>45944</v>
      </c>
      <c r="D1001" s="2" t="s">
        <v>18</v>
      </c>
      <c r="E1001">
        <v>9412</v>
      </c>
      <c r="F1001">
        <v>0.32500000000000001</v>
      </c>
      <c r="G1001">
        <v>0.33</v>
      </c>
      <c r="H1001">
        <v>0.32</v>
      </c>
      <c r="I1001">
        <v>0.32</v>
      </c>
      <c r="J1001">
        <v>236308</v>
      </c>
      <c r="K1001">
        <v>3011.84</v>
      </c>
      <c r="L1001">
        <f t="shared" si="16"/>
        <v>0</v>
      </c>
      <c r="M1001">
        <f>+IF(DailyData[[#This Row],[Column1]]&gt;0,DailyData[[#This Row],[Column1]]-L988,0)</f>
        <v>0</v>
      </c>
      <c r="N1001" s="1">
        <f>+IF(DailyData[[#This Row],[Column2]]=0,0,DailyData[[#This Row],[Date]])</f>
        <v>0</v>
      </c>
    </row>
    <row r="1002" spans="3:14" x14ac:dyDescent="0.25">
      <c r="C1002" s="1">
        <v>45944</v>
      </c>
      <c r="D1002" s="2" t="s">
        <v>19</v>
      </c>
      <c r="E1002">
        <v>6000</v>
      </c>
      <c r="F1002">
        <v>0.35</v>
      </c>
      <c r="G1002">
        <v>0.4</v>
      </c>
      <c r="H1002">
        <v>0.34499999999999997</v>
      </c>
      <c r="I1002">
        <v>0.38500000000000001</v>
      </c>
      <c r="J1002">
        <v>1845671</v>
      </c>
      <c r="K1002">
        <v>2310</v>
      </c>
      <c r="L1002">
        <f t="shared" si="16"/>
        <v>0</v>
      </c>
      <c r="M1002">
        <f>+IF(DailyData[[#This Row],[Column1]]&gt;0,DailyData[[#This Row],[Column1]]-L989,0)</f>
        <v>0</v>
      </c>
      <c r="N1002" s="1">
        <f>+IF(DailyData[[#This Row],[Column2]]=0,0,DailyData[[#This Row],[Date]])</f>
        <v>0</v>
      </c>
    </row>
    <row r="1003" spans="3:14" x14ac:dyDescent="0.25">
      <c r="C1003" s="1">
        <v>45944</v>
      </c>
      <c r="D1003" s="2" t="s">
        <v>20</v>
      </c>
      <c r="E1003">
        <v>0</v>
      </c>
      <c r="F1003">
        <v>38.799999999999997</v>
      </c>
      <c r="G1003">
        <v>38.82</v>
      </c>
      <c r="H1003">
        <v>37.950000000000003</v>
      </c>
      <c r="I1003">
        <v>38.39</v>
      </c>
      <c r="J1003">
        <v>4641238</v>
      </c>
      <c r="K1003">
        <v>0</v>
      </c>
      <c r="L1003">
        <f t="shared" si="16"/>
        <v>0</v>
      </c>
      <c r="M1003">
        <f>+IF(DailyData[[#This Row],[Column1]]&gt;0,DailyData[[#This Row],[Column1]]-L990,0)</f>
        <v>0</v>
      </c>
      <c r="N1003" s="1">
        <f>+IF(DailyData[[#This Row],[Column2]]=0,0,DailyData[[#This Row],[Date]])</f>
        <v>0</v>
      </c>
    </row>
    <row r="1004" spans="3:14" x14ac:dyDescent="0.25">
      <c r="C1004" s="1">
        <v>45944</v>
      </c>
      <c r="D1004" s="2" t="s">
        <v>21</v>
      </c>
      <c r="E1004">
        <v>1288</v>
      </c>
      <c r="F1004">
        <v>22.27</v>
      </c>
      <c r="G1004">
        <v>22.46</v>
      </c>
      <c r="H1004">
        <v>22.08</v>
      </c>
      <c r="I1004">
        <v>22.35</v>
      </c>
      <c r="J1004">
        <v>4100485</v>
      </c>
      <c r="K1004">
        <v>28786.799999999999</v>
      </c>
      <c r="L1004">
        <f t="shared" si="16"/>
        <v>1165639.4700000002</v>
      </c>
      <c r="M1004">
        <f>+IF(DailyData[[#This Row],[Column1]]&gt;0,DailyData[[#This Row],[Column1]]-L991,0)</f>
        <v>73558.649999999907</v>
      </c>
      <c r="N1004" s="1">
        <f>+IF(DailyData[[#This Row],[Column2]]=0,0,DailyData[[#This Row],[Date]])</f>
        <v>45944</v>
      </c>
    </row>
    <row r="1005" spans="3:14" x14ac:dyDescent="0.25">
      <c r="C1005" s="1">
        <v>45945</v>
      </c>
      <c r="D1005" s="2" t="s">
        <v>9</v>
      </c>
      <c r="E1005">
        <v>153181</v>
      </c>
      <c r="F1005">
        <v>1.1850000000000001</v>
      </c>
      <c r="G1005">
        <v>1.1850000000000001</v>
      </c>
      <c r="H1005">
        <v>1.145</v>
      </c>
      <c r="I1005">
        <v>1.155</v>
      </c>
      <c r="J1005">
        <v>5735263</v>
      </c>
      <c r="K1005">
        <v>176924.05</v>
      </c>
      <c r="L1005">
        <f t="shared" si="16"/>
        <v>0</v>
      </c>
      <c r="M1005">
        <f>+IF(DailyData[[#This Row],[Column1]]&gt;0,DailyData[[#This Row],[Column1]]-L992,0)</f>
        <v>0</v>
      </c>
      <c r="N1005" s="1">
        <f>+IF(DailyData[[#This Row],[Column2]]=0,0,DailyData[[#This Row],[Date]])</f>
        <v>0</v>
      </c>
    </row>
    <row r="1006" spans="3:14" x14ac:dyDescent="0.25">
      <c r="C1006" s="1">
        <v>45945</v>
      </c>
      <c r="D1006" s="2" t="s">
        <v>10</v>
      </c>
      <c r="E1006">
        <v>70000</v>
      </c>
      <c r="F1006">
        <v>1.74</v>
      </c>
      <c r="G1006">
        <v>1.77</v>
      </c>
      <c r="H1006">
        <v>1.732</v>
      </c>
      <c r="I1006">
        <v>1.76</v>
      </c>
      <c r="J1006">
        <v>8022759</v>
      </c>
      <c r="K1006">
        <v>123200</v>
      </c>
      <c r="L1006">
        <f t="shared" si="16"/>
        <v>0</v>
      </c>
      <c r="M1006">
        <f>+IF(DailyData[[#This Row],[Column1]]&gt;0,DailyData[[#This Row],[Column1]]-L993,0)</f>
        <v>0</v>
      </c>
      <c r="N1006" s="1">
        <f>+IF(DailyData[[#This Row],[Column2]]=0,0,DailyData[[#This Row],[Date]])</f>
        <v>0</v>
      </c>
    </row>
    <row r="1007" spans="3:14" x14ac:dyDescent="0.25">
      <c r="C1007" s="1">
        <v>45945</v>
      </c>
      <c r="D1007" s="2" t="s">
        <v>11</v>
      </c>
      <c r="E1007">
        <v>57458</v>
      </c>
      <c r="F1007">
        <v>2.0099999999999998</v>
      </c>
      <c r="G1007">
        <v>2.06</v>
      </c>
      <c r="H1007">
        <v>1.51</v>
      </c>
      <c r="I1007">
        <v>1.85</v>
      </c>
      <c r="J1007">
        <v>8833259</v>
      </c>
      <c r="K1007">
        <v>106297.3</v>
      </c>
      <c r="L1007">
        <f t="shared" si="16"/>
        <v>0</v>
      </c>
      <c r="M1007">
        <f>+IF(DailyData[[#This Row],[Column1]]&gt;0,DailyData[[#This Row],[Column1]]-L994,0)</f>
        <v>0</v>
      </c>
      <c r="N1007" s="1">
        <f>+IF(DailyData[[#This Row],[Column2]]=0,0,DailyData[[#This Row],[Date]])</f>
        <v>0</v>
      </c>
    </row>
    <row r="1008" spans="3:14" x14ac:dyDescent="0.25">
      <c r="C1008" s="1">
        <v>45945</v>
      </c>
      <c r="D1008" s="2" t="s">
        <v>12</v>
      </c>
      <c r="E1008">
        <v>16361</v>
      </c>
      <c r="F1008">
        <v>43.23</v>
      </c>
      <c r="G1008">
        <v>43.54</v>
      </c>
      <c r="H1008">
        <v>42.93</v>
      </c>
      <c r="I1008">
        <v>43.54</v>
      </c>
      <c r="J1008">
        <v>9777081</v>
      </c>
      <c r="K1008">
        <v>712357.95</v>
      </c>
      <c r="L1008">
        <f t="shared" si="16"/>
        <v>0</v>
      </c>
      <c r="M1008">
        <f>+IF(DailyData[[#This Row],[Column1]]&gt;0,DailyData[[#This Row],[Column1]]-L995,0)</f>
        <v>0</v>
      </c>
      <c r="N1008" s="1">
        <f>+IF(DailyData[[#This Row],[Column2]]=0,0,DailyData[[#This Row],[Date]])</f>
        <v>0</v>
      </c>
    </row>
    <row r="1009" spans="3:14" x14ac:dyDescent="0.25">
      <c r="C1009" s="1">
        <v>45945</v>
      </c>
      <c r="D1009" s="2" t="s">
        <v>13</v>
      </c>
      <c r="E1009">
        <v>44090</v>
      </c>
      <c r="F1009">
        <v>1.6E-2</v>
      </c>
      <c r="G1009">
        <v>1.6E-2</v>
      </c>
      <c r="H1009">
        <v>1.4E-2</v>
      </c>
      <c r="I1009">
        <v>1.4E-2</v>
      </c>
      <c r="J1009">
        <v>1738894</v>
      </c>
      <c r="K1009">
        <v>617.26</v>
      </c>
      <c r="L1009">
        <f t="shared" si="16"/>
        <v>0</v>
      </c>
      <c r="M1009">
        <f>+IF(DailyData[[#This Row],[Column1]]&gt;0,DailyData[[#This Row],[Column1]]-L996,0)</f>
        <v>0</v>
      </c>
      <c r="N1009" s="1">
        <f>+IF(DailyData[[#This Row],[Column2]]=0,0,DailyData[[#This Row],[Date]])</f>
        <v>0</v>
      </c>
    </row>
    <row r="1010" spans="3:14" x14ac:dyDescent="0.25">
      <c r="C1010" s="1">
        <v>45945</v>
      </c>
      <c r="D1010" s="2" t="s">
        <v>14</v>
      </c>
      <c r="E1010">
        <v>0</v>
      </c>
      <c r="F1010">
        <v>166.32</v>
      </c>
      <c r="G1010">
        <v>167.7</v>
      </c>
      <c r="H1010">
        <v>165.51</v>
      </c>
      <c r="I1010">
        <v>166.78</v>
      </c>
      <c r="J1010">
        <v>1632380</v>
      </c>
      <c r="K1010">
        <v>0</v>
      </c>
      <c r="L1010">
        <f t="shared" si="16"/>
        <v>0</v>
      </c>
      <c r="M1010">
        <f>+IF(DailyData[[#This Row],[Column1]]&gt;0,DailyData[[#This Row],[Column1]]-L997,0)</f>
        <v>0</v>
      </c>
      <c r="N1010" s="1">
        <f>+IF(DailyData[[#This Row],[Column2]]=0,0,DailyData[[#This Row],[Date]])</f>
        <v>0</v>
      </c>
    </row>
    <row r="1011" spans="3:14" x14ac:dyDescent="0.25">
      <c r="C1011" s="1">
        <v>45945</v>
      </c>
      <c r="D1011" s="2" t="s">
        <v>15</v>
      </c>
      <c r="E1011">
        <v>10000</v>
      </c>
      <c r="F1011">
        <v>0.495</v>
      </c>
      <c r="G1011">
        <v>0.54</v>
      </c>
      <c r="H1011">
        <v>0.45500000000000002</v>
      </c>
      <c r="I1011">
        <v>0.5</v>
      </c>
      <c r="J1011">
        <v>3778922</v>
      </c>
      <c r="K1011">
        <v>5000</v>
      </c>
      <c r="L1011">
        <f t="shared" si="16"/>
        <v>0</v>
      </c>
      <c r="M1011">
        <f>+IF(DailyData[[#This Row],[Column1]]&gt;0,DailyData[[#This Row],[Column1]]-L998,0)</f>
        <v>0</v>
      </c>
      <c r="N1011" s="1">
        <f>+IF(DailyData[[#This Row],[Column2]]=0,0,DailyData[[#This Row],[Date]])</f>
        <v>0</v>
      </c>
    </row>
    <row r="1012" spans="3:14" x14ac:dyDescent="0.25">
      <c r="C1012" s="1">
        <v>45945</v>
      </c>
      <c r="D1012" s="2" t="s">
        <v>16</v>
      </c>
      <c r="E1012">
        <v>20000</v>
      </c>
      <c r="F1012">
        <v>0.4</v>
      </c>
      <c r="G1012">
        <v>0.43</v>
      </c>
      <c r="H1012">
        <v>0.39</v>
      </c>
      <c r="I1012">
        <v>0.43</v>
      </c>
      <c r="J1012">
        <v>2283669</v>
      </c>
      <c r="K1012">
        <v>8600</v>
      </c>
      <c r="L1012">
        <f t="shared" si="16"/>
        <v>0</v>
      </c>
      <c r="M1012">
        <f>+IF(DailyData[[#This Row],[Column1]]&gt;0,DailyData[[#This Row],[Column1]]-L999,0)</f>
        <v>0</v>
      </c>
      <c r="N1012" s="1">
        <f>+IF(DailyData[[#This Row],[Column2]]=0,0,DailyData[[#This Row],[Date]])</f>
        <v>0</v>
      </c>
    </row>
    <row r="1013" spans="3:14" x14ac:dyDescent="0.25">
      <c r="C1013" s="1">
        <v>45945</v>
      </c>
      <c r="D1013" s="2" t="s">
        <v>17</v>
      </c>
      <c r="E1013">
        <v>700000</v>
      </c>
      <c r="F1013">
        <v>2E-3</v>
      </c>
      <c r="G1013">
        <v>2E-3</v>
      </c>
      <c r="H1013">
        <v>2E-3</v>
      </c>
      <c r="I1013">
        <v>2E-3</v>
      </c>
      <c r="J1013">
        <v>936144</v>
      </c>
      <c r="K1013">
        <v>1400</v>
      </c>
      <c r="L1013">
        <f t="shared" si="16"/>
        <v>0</v>
      </c>
      <c r="M1013">
        <f>+IF(DailyData[[#This Row],[Column1]]&gt;0,DailyData[[#This Row],[Column1]]-L1000,0)</f>
        <v>0</v>
      </c>
      <c r="N1013" s="1">
        <f>+IF(DailyData[[#This Row],[Column2]]=0,0,DailyData[[#This Row],[Date]])</f>
        <v>0</v>
      </c>
    </row>
    <row r="1014" spans="3:14" x14ac:dyDescent="0.25">
      <c r="C1014" s="1">
        <v>45945</v>
      </c>
      <c r="D1014" s="2" t="s">
        <v>18</v>
      </c>
      <c r="E1014">
        <v>9412</v>
      </c>
      <c r="F1014">
        <v>0.32500000000000001</v>
      </c>
      <c r="G1014">
        <v>0.33500000000000002</v>
      </c>
      <c r="H1014">
        <v>0.315</v>
      </c>
      <c r="I1014">
        <v>0.32</v>
      </c>
      <c r="J1014">
        <v>339726</v>
      </c>
      <c r="K1014">
        <v>3011.84</v>
      </c>
      <c r="L1014">
        <f t="shared" si="16"/>
        <v>0</v>
      </c>
      <c r="M1014">
        <f>+IF(DailyData[[#This Row],[Column1]]&gt;0,DailyData[[#This Row],[Column1]]-L1001,0)</f>
        <v>0</v>
      </c>
      <c r="N1014" s="1">
        <f>+IF(DailyData[[#This Row],[Column2]]=0,0,DailyData[[#This Row],[Date]])</f>
        <v>0</v>
      </c>
    </row>
    <row r="1015" spans="3:14" x14ac:dyDescent="0.25">
      <c r="C1015" s="1">
        <v>45945</v>
      </c>
      <c r="D1015" s="2" t="s">
        <v>19</v>
      </c>
      <c r="E1015">
        <v>6000</v>
      </c>
      <c r="F1015">
        <v>0.4</v>
      </c>
      <c r="G1015">
        <v>0.4</v>
      </c>
      <c r="H1015">
        <v>0.31</v>
      </c>
      <c r="I1015">
        <v>0.37</v>
      </c>
      <c r="J1015">
        <v>2595763</v>
      </c>
      <c r="K1015">
        <v>2220</v>
      </c>
      <c r="L1015">
        <f t="shared" si="16"/>
        <v>0</v>
      </c>
      <c r="M1015">
        <f>+IF(DailyData[[#This Row],[Column1]]&gt;0,DailyData[[#This Row],[Column1]]-L1002,0)</f>
        <v>0</v>
      </c>
      <c r="N1015" s="1">
        <f>+IF(DailyData[[#This Row],[Column2]]=0,0,DailyData[[#This Row],[Date]])</f>
        <v>0</v>
      </c>
    </row>
    <row r="1016" spans="3:14" x14ac:dyDescent="0.25">
      <c r="C1016" s="1">
        <v>45945</v>
      </c>
      <c r="D1016" s="2" t="s">
        <v>20</v>
      </c>
      <c r="E1016">
        <v>0</v>
      </c>
      <c r="F1016">
        <v>38.85</v>
      </c>
      <c r="G1016">
        <v>39.24</v>
      </c>
      <c r="H1016">
        <v>38.56</v>
      </c>
      <c r="I1016">
        <v>39.15</v>
      </c>
      <c r="J1016">
        <v>4514692</v>
      </c>
      <c r="K1016">
        <v>0</v>
      </c>
      <c r="L1016">
        <f t="shared" si="16"/>
        <v>0</v>
      </c>
      <c r="M1016">
        <f>+IF(DailyData[[#This Row],[Column1]]&gt;0,DailyData[[#This Row],[Column1]]-L1003,0)</f>
        <v>0</v>
      </c>
      <c r="N1016" s="1">
        <f>+IF(DailyData[[#This Row],[Column2]]=0,0,DailyData[[#This Row],[Date]])</f>
        <v>0</v>
      </c>
    </row>
    <row r="1017" spans="3:14" x14ac:dyDescent="0.25">
      <c r="C1017" s="1">
        <v>45945</v>
      </c>
      <c r="D1017" s="2" t="s">
        <v>21</v>
      </c>
      <c r="E1017">
        <v>1288</v>
      </c>
      <c r="F1017">
        <v>22.45</v>
      </c>
      <c r="G1017">
        <v>22.46</v>
      </c>
      <c r="H1017">
        <v>22.13</v>
      </c>
      <c r="I1017">
        <v>22.43</v>
      </c>
      <c r="J1017">
        <v>5169388</v>
      </c>
      <c r="K1017">
        <v>28889.84</v>
      </c>
      <c r="L1017">
        <f t="shared" si="16"/>
        <v>1168518.24</v>
      </c>
      <c r="M1017">
        <f>+IF(DailyData[[#This Row],[Column1]]&gt;0,DailyData[[#This Row],[Column1]]-L1004,0)</f>
        <v>2878.7699999997858</v>
      </c>
      <c r="N1017" s="1">
        <f>+IF(DailyData[[#This Row],[Column2]]=0,0,DailyData[[#This Row],[Date]])</f>
        <v>45945</v>
      </c>
    </row>
    <row r="1018" spans="3:14" x14ac:dyDescent="0.25">
      <c r="C1018" s="1">
        <v>45946</v>
      </c>
      <c r="D1018" s="2" t="s">
        <v>9</v>
      </c>
      <c r="E1018">
        <v>153181</v>
      </c>
      <c r="F1018">
        <v>1.17</v>
      </c>
      <c r="G1018">
        <v>1.1879999999999999</v>
      </c>
      <c r="H1018">
        <v>1.135</v>
      </c>
      <c r="I1018">
        <v>1.1399999999999999</v>
      </c>
      <c r="J1018">
        <v>6055227</v>
      </c>
      <c r="K1018">
        <v>174626.34</v>
      </c>
      <c r="L1018">
        <f t="shared" si="16"/>
        <v>0</v>
      </c>
      <c r="M1018">
        <f>+IF(DailyData[[#This Row],[Column1]]&gt;0,DailyData[[#This Row],[Column1]]-L1005,0)</f>
        <v>0</v>
      </c>
      <c r="N1018" s="1">
        <f>+IF(DailyData[[#This Row],[Column2]]=0,0,DailyData[[#This Row],[Date]])</f>
        <v>0</v>
      </c>
    </row>
    <row r="1019" spans="3:14" x14ac:dyDescent="0.25">
      <c r="C1019" s="1">
        <v>45946</v>
      </c>
      <c r="D1019" s="2" t="s">
        <v>10</v>
      </c>
      <c r="E1019">
        <v>70000</v>
      </c>
      <c r="F1019">
        <v>1.85</v>
      </c>
      <c r="G1019">
        <v>2.0099999999999998</v>
      </c>
      <c r="H1019">
        <v>1.85</v>
      </c>
      <c r="I1019">
        <v>1.91</v>
      </c>
      <c r="J1019">
        <v>33013495</v>
      </c>
      <c r="K1019">
        <v>133700</v>
      </c>
      <c r="L1019">
        <f t="shared" si="16"/>
        <v>0</v>
      </c>
      <c r="M1019">
        <f>+IF(DailyData[[#This Row],[Column1]]&gt;0,DailyData[[#This Row],[Column1]]-L1006,0)</f>
        <v>0</v>
      </c>
      <c r="N1019" s="1">
        <f>+IF(DailyData[[#This Row],[Column2]]=0,0,DailyData[[#This Row],[Date]])</f>
        <v>0</v>
      </c>
    </row>
    <row r="1020" spans="3:14" x14ac:dyDescent="0.25">
      <c r="C1020" s="1">
        <v>45946</v>
      </c>
      <c r="D1020" s="2" t="s">
        <v>11</v>
      </c>
      <c r="E1020">
        <v>57458</v>
      </c>
      <c r="F1020">
        <v>1.65</v>
      </c>
      <c r="G1020">
        <v>1.7749999999999999</v>
      </c>
      <c r="H1020">
        <v>1.54</v>
      </c>
      <c r="I1020">
        <v>1.61</v>
      </c>
      <c r="J1020">
        <v>3871939</v>
      </c>
      <c r="K1020">
        <v>92507.38</v>
      </c>
      <c r="L1020">
        <f t="shared" si="16"/>
        <v>0</v>
      </c>
      <c r="M1020">
        <f>+IF(DailyData[[#This Row],[Column1]]&gt;0,DailyData[[#This Row],[Column1]]-L1007,0)</f>
        <v>0</v>
      </c>
      <c r="N1020" s="1">
        <f>+IF(DailyData[[#This Row],[Column2]]=0,0,DailyData[[#This Row],[Date]])</f>
        <v>0</v>
      </c>
    </row>
    <row r="1021" spans="3:14" x14ac:dyDescent="0.25">
      <c r="C1021" s="1">
        <v>45946</v>
      </c>
      <c r="D1021" s="2" t="s">
        <v>12</v>
      </c>
      <c r="E1021">
        <v>16361</v>
      </c>
      <c r="F1021">
        <v>43.48</v>
      </c>
      <c r="G1021">
        <v>43.84</v>
      </c>
      <c r="H1021">
        <v>43.34</v>
      </c>
      <c r="I1021">
        <v>43.77</v>
      </c>
      <c r="J1021">
        <v>10243494</v>
      </c>
      <c r="K1021">
        <v>716120.98</v>
      </c>
      <c r="L1021">
        <f t="shared" si="16"/>
        <v>0</v>
      </c>
      <c r="M1021">
        <f>+IF(DailyData[[#This Row],[Column1]]&gt;0,DailyData[[#This Row],[Column1]]-L1008,0)</f>
        <v>0</v>
      </c>
      <c r="N1021" s="1">
        <f>+IF(DailyData[[#This Row],[Column2]]=0,0,DailyData[[#This Row],[Date]])</f>
        <v>0</v>
      </c>
    </row>
    <row r="1022" spans="3:14" x14ac:dyDescent="0.25">
      <c r="C1022" s="1">
        <v>45946</v>
      </c>
      <c r="D1022" s="2" t="s">
        <v>13</v>
      </c>
      <c r="E1022">
        <v>44090</v>
      </c>
      <c r="F1022">
        <v>1.4E-2</v>
      </c>
      <c r="G1022">
        <v>1.4999999999999999E-2</v>
      </c>
      <c r="H1022">
        <v>1.4E-2</v>
      </c>
      <c r="I1022">
        <v>1.4999999999999999E-2</v>
      </c>
      <c r="J1022">
        <v>2327786</v>
      </c>
      <c r="K1022">
        <v>661.35</v>
      </c>
      <c r="L1022">
        <f t="shared" si="16"/>
        <v>0</v>
      </c>
      <c r="M1022">
        <f>+IF(DailyData[[#This Row],[Column1]]&gt;0,DailyData[[#This Row],[Column1]]-L1009,0)</f>
        <v>0</v>
      </c>
      <c r="N1022" s="1">
        <f>+IF(DailyData[[#This Row],[Column2]]=0,0,DailyData[[#This Row],[Date]])</f>
        <v>0</v>
      </c>
    </row>
    <row r="1023" spans="3:14" x14ac:dyDescent="0.25">
      <c r="C1023" s="1">
        <v>45946</v>
      </c>
      <c r="D1023" s="2" t="s">
        <v>14</v>
      </c>
      <c r="E1023">
        <v>0</v>
      </c>
      <c r="F1023">
        <v>169.22</v>
      </c>
      <c r="G1023">
        <v>170.95</v>
      </c>
      <c r="H1023">
        <v>167.07</v>
      </c>
      <c r="I1023">
        <v>168.1</v>
      </c>
      <c r="J1023">
        <v>2206440</v>
      </c>
      <c r="K1023">
        <v>0</v>
      </c>
      <c r="L1023">
        <f t="shared" si="16"/>
        <v>0</v>
      </c>
      <c r="M1023">
        <f>+IF(DailyData[[#This Row],[Column1]]&gt;0,DailyData[[#This Row],[Column1]]-L1010,0)</f>
        <v>0</v>
      </c>
      <c r="N1023" s="1">
        <f>+IF(DailyData[[#This Row],[Column2]]=0,0,DailyData[[#This Row],[Date]])</f>
        <v>0</v>
      </c>
    </row>
    <row r="1024" spans="3:14" x14ac:dyDescent="0.25">
      <c r="C1024" s="1">
        <v>45946</v>
      </c>
      <c r="D1024" s="2" t="s">
        <v>15</v>
      </c>
      <c r="E1024">
        <v>10000</v>
      </c>
      <c r="F1024">
        <v>0.5</v>
      </c>
      <c r="G1024">
        <v>0.5</v>
      </c>
      <c r="H1024">
        <v>0.47</v>
      </c>
      <c r="I1024">
        <v>0.49</v>
      </c>
      <c r="J1024">
        <v>638574</v>
      </c>
      <c r="K1024">
        <v>4900</v>
      </c>
      <c r="L1024">
        <f t="shared" si="16"/>
        <v>0</v>
      </c>
      <c r="M1024">
        <f>+IF(DailyData[[#This Row],[Column1]]&gt;0,DailyData[[#This Row],[Column1]]-L1011,0)</f>
        <v>0</v>
      </c>
      <c r="N1024" s="1">
        <f>+IF(DailyData[[#This Row],[Column2]]=0,0,DailyData[[#This Row],[Date]])</f>
        <v>0</v>
      </c>
    </row>
    <row r="1025" spans="3:14" x14ac:dyDescent="0.25">
      <c r="C1025" s="1">
        <v>45946</v>
      </c>
      <c r="D1025" s="2" t="s">
        <v>16</v>
      </c>
      <c r="E1025">
        <v>20000</v>
      </c>
      <c r="F1025">
        <v>0.44500000000000001</v>
      </c>
      <c r="G1025">
        <v>0.5</v>
      </c>
      <c r="H1025">
        <v>0.43</v>
      </c>
      <c r="I1025">
        <v>0.45</v>
      </c>
      <c r="J1025">
        <v>1071331</v>
      </c>
      <c r="K1025">
        <v>9000</v>
      </c>
      <c r="L1025">
        <f t="shared" si="16"/>
        <v>0</v>
      </c>
      <c r="M1025">
        <f>+IF(DailyData[[#This Row],[Column1]]&gt;0,DailyData[[#This Row],[Column1]]-L1012,0)</f>
        <v>0</v>
      </c>
      <c r="N1025" s="1">
        <f>+IF(DailyData[[#This Row],[Column2]]=0,0,DailyData[[#This Row],[Date]])</f>
        <v>0</v>
      </c>
    </row>
    <row r="1026" spans="3:14" x14ac:dyDescent="0.25">
      <c r="C1026" s="1">
        <v>45946</v>
      </c>
      <c r="D1026" s="2" t="s">
        <v>17</v>
      </c>
      <c r="E1026">
        <v>700000</v>
      </c>
      <c r="F1026">
        <v>2E-3</v>
      </c>
      <c r="G1026">
        <v>2E-3</v>
      </c>
      <c r="H1026">
        <v>2E-3</v>
      </c>
      <c r="I1026">
        <v>2E-3</v>
      </c>
      <c r="J1026">
        <v>147849</v>
      </c>
      <c r="K1026">
        <v>1750</v>
      </c>
      <c r="L1026">
        <f t="shared" si="16"/>
        <v>0</v>
      </c>
      <c r="M1026">
        <f>+IF(DailyData[[#This Row],[Column1]]&gt;0,DailyData[[#This Row],[Column1]]-L1013,0)</f>
        <v>0</v>
      </c>
      <c r="N1026" s="1">
        <f>+IF(DailyData[[#This Row],[Column2]]=0,0,DailyData[[#This Row],[Date]])</f>
        <v>0</v>
      </c>
    </row>
    <row r="1027" spans="3:14" x14ac:dyDescent="0.25">
      <c r="C1027" s="1">
        <v>45946</v>
      </c>
      <c r="D1027" s="2" t="s">
        <v>18</v>
      </c>
      <c r="E1027">
        <v>9412</v>
      </c>
      <c r="F1027">
        <v>0.32</v>
      </c>
      <c r="G1027">
        <v>0.33</v>
      </c>
      <c r="H1027">
        <v>0.30499999999999999</v>
      </c>
      <c r="I1027">
        <v>0.32</v>
      </c>
      <c r="J1027">
        <v>424012</v>
      </c>
      <c r="K1027">
        <v>3011.84</v>
      </c>
      <c r="L1027">
        <f t="shared" si="16"/>
        <v>0</v>
      </c>
      <c r="M1027">
        <f>+IF(DailyData[[#This Row],[Column1]]&gt;0,DailyData[[#This Row],[Column1]]-L1014,0)</f>
        <v>0</v>
      </c>
      <c r="N1027" s="1">
        <f>+IF(DailyData[[#This Row],[Column2]]=0,0,DailyData[[#This Row],[Date]])</f>
        <v>0</v>
      </c>
    </row>
    <row r="1028" spans="3:14" x14ac:dyDescent="0.25">
      <c r="C1028" s="1">
        <v>45946</v>
      </c>
      <c r="D1028" s="2" t="s">
        <v>19</v>
      </c>
      <c r="E1028">
        <v>6000</v>
      </c>
      <c r="F1028">
        <v>0.34499999999999997</v>
      </c>
      <c r="G1028">
        <v>0.38</v>
      </c>
      <c r="H1028">
        <v>0.34</v>
      </c>
      <c r="I1028">
        <v>0.35</v>
      </c>
      <c r="J1028">
        <v>560871</v>
      </c>
      <c r="K1028">
        <v>2100</v>
      </c>
      <c r="L1028">
        <f t="shared" si="16"/>
        <v>0</v>
      </c>
      <c r="M1028">
        <f>+IF(DailyData[[#This Row],[Column1]]&gt;0,DailyData[[#This Row],[Column1]]-L1015,0)</f>
        <v>0</v>
      </c>
      <c r="N1028" s="1">
        <f>+IF(DailyData[[#This Row],[Column2]]=0,0,DailyData[[#This Row],[Date]])</f>
        <v>0</v>
      </c>
    </row>
    <row r="1029" spans="3:14" x14ac:dyDescent="0.25">
      <c r="C1029" s="1">
        <v>45946</v>
      </c>
      <c r="D1029" s="2" t="s">
        <v>20</v>
      </c>
      <c r="E1029">
        <v>0</v>
      </c>
      <c r="F1029">
        <v>39.299999999999997</v>
      </c>
      <c r="G1029">
        <v>39.97</v>
      </c>
      <c r="H1029">
        <v>38.869999999999997</v>
      </c>
      <c r="I1029">
        <v>39.049999999999997</v>
      </c>
      <c r="J1029">
        <v>5025517</v>
      </c>
      <c r="K1029">
        <v>0</v>
      </c>
      <c r="L1029">
        <f t="shared" si="16"/>
        <v>0</v>
      </c>
      <c r="M1029">
        <f>+IF(DailyData[[#This Row],[Column1]]&gt;0,DailyData[[#This Row],[Column1]]-L1016,0)</f>
        <v>0</v>
      </c>
      <c r="N1029" s="1">
        <f>+IF(DailyData[[#This Row],[Column2]]=0,0,DailyData[[#This Row],[Date]])</f>
        <v>0</v>
      </c>
    </row>
    <row r="1030" spans="3:14" x14ac:dyDescent="0.25">
      <c r="C1030" s="1">
        <v>45946</v>
      </c>
      <c r="D1030" s="2" t="s">
        <v>21</v>
      </c>
      <c r="E1030">
        <v>1288</v>
      </c>
      <c r="F1030">
        <v>22.44</v>
      </c>
      <c r="G1030">
        <v>22.78</v>
      </c>
      <c r="H1030">
        <v>22.24</v>
      </c>
      <c r="I1030">
        <v>22.7</v>
      </c>
      <c r="J1030">
        <v>3541151</v>
      </c>
      <c r="K1030">
        <v>29237.599999999999</v>
      </c>
      <c r="L1030">
        <f t="shared" si="16"/>
        <v>1167615.4900000002</v>
      </c>
      <c r="M1030">
        <f>+IF(DailyData[[#This Row],[Column1]]&gt;0,DailyData[[#This Row],[Column1]]-L1017,0)</f>
        <v>-902.74999999976717</v>
      </c>
      <c r="N1030" s="1">
        <f>+IF(DailyData[[#This Row],[Column2]]=0,0,DailyData[[#This Row],[Date]])</f>
        <v>45946</v>
      </c>
    </row>
    <row r="1031" spans="3:14" x14ac:dyDescent="0.25">
      <c r="C1031" s="1">
        <v>45947</v>
      </c>
      <c r="D1031" s="2" t="s">
        <v>9</v>
      </c>
      <c r="E1031">
        <v>153181</v>
      </c>
      <c r="F1031">
        <v>1.1599999999999999</v>
      </c>
      <c r="G1031">
        <v>1.17</v>
      </c>
      <c r="H1031">
        <v>1.1100000000000001</v>
      </c>
      <c r="I1031">
        <v>1.1200000000000001</v>
      </c>
      <c r="J1031">
        <v>5591505</v>
      </c>
      <c r="K1031">
        <v>171562.72</v>
      </c>
      <c r="L1031">
        <f t="shared" si="16"/>
        <v>0</v>
      </c>
      <c r="M1031">
        <f>+IF(DailyData[[#This Row],[Column1]]&gt;0,DailyData[[#This Row],[Column1]]-L1018,0)</f>
        <v>0</v>
      </c>
      <c r="N1031" s="1">
        <f>+IF(DailyData[[#This Row],[Column2]]=0,0,DailyData[[#This Row],[Date]])</f>
        <v>0</v>
      </c>
    </row>
    <row r="1032" spans="3:14" x14ac:dyDescent="0.25">
      <c r="C1032" s="1">
        <v>45947</v>
      </c>
      <c r="D1032" s="2" t="s">
        <v>10</v>
      </c>
      <c r="E1032">
        <v>70000</v>
      </c>
      <c r="F1032">
        <v>1.855</v>
      </c>
      <c r="G1032">
        <v>1.87</v>
      </c>
      <c r="H1032">
        <v>1.77</v>
      </c>
      <c r="I1032">
        <v>1.79</v>
      </c>
      <c r="J1032">
        <v>16542064</v>
      </c>
      <c r="K1032">
        <v>125300</v>
      </c>
      <c r="L1032">
        <f t="shared" si="16"/>
        <v>0</v>
      </c>
      <c r="M1032">
        <f>+IF(DailyData[[#This Row],[Column1]]&gt;0,DailyData[[#This Row],[Column1]]-L1019,0)</f>
        <v>0</v>
      </c>
      <c r="N1032" s="1">
        <f>+IF(DailyData[[#This Row],[Column2]]=0,0,DailyData[[#This Row],[Date]])</f>
        <v>0</v>
      </c>
    </row>
    <row r="1033" spans="3:14" x14ac:dyDescent="0.25">
      <c r="C1033" s="1">
        <v>45947</v>
      </c>
      <c r="D1033" s="2" t="s">
        <v>11</v>
      </c>
      <c r="E1033">
        <v>57458</v>
      </c>
      <c r="F1033">
        <v>1.61</v>
      </c>
      <c r="G1033">
        <v>1.61</v>
      </c>
      <c r="H1033">
        <v>1.61</v>
      </c>
      <c r="I1033">
        <v>1.61</v>
      </c>
      <c r="J1033">
        <v>0</v>
      </c>
      <c r="K1033">
        <v>92507.38</v>
      </c>
      <c r="L1033">
        <f t="shared" si="16"/>
        <v>0</v>
      </c>
      <c r="M1033">
        <f>+IF(DailyData[[#This Row],[Column1]]&gt;0,DailyData[[#This Row],[Column1]]-L1020,0)</f>
        <v>0</v>
      </c>
      <c r="N1033" s="1">
        <f>+IF(DailyData[[#This Row],[Column2]]=0,0,DailyData[[#This Row],[Date]])</f>
        <v>0</v>
      </c>
    </row>
    <row r="1034" spans="3:14" x14ac:dyDescent="0.25">
      <c r="C1034" s="1">
        <v>45947</v>
      </c>
      <c r="D1034" s="2" t="s">
        <v>12</v>
      </c>
      <c r="E1034">
        <v>16361</v>
      </c>
      <c r="F1034">
        <v>43.56</v>
      </c>
      <c r="G1034">
        <v>43.64</v>
      </c>
      <c r="H1034">
        <v>43.21</v>
      </c>
      <c r="I1034">
        <v>43.6</v>
      </c>
      <c r="J1034">
        <v>10756381</v>
      </c>
      <c r="K1034">
        <v>713339.58</v>
      </c>
      <c r="L1034">
        <f t="shared" si="16"/>
        <v>0</v>
      </c>
      <c r="M1034">
        <f>+IF(DailyData[[#This Row],[Column1]]&gt;0,DailyData[[#This Row],[Column1]]-L1021,0)</f>
        <v>0</v>
      </c>
      <c r="N1034" s="1">
        <f>+IF(DailyData[[#This Row],[Column2]]=0,0,DailyData[[#This Row],[Date]])</f>
        <v>0</v>
      </c>
    </row>
    <row r="1035" spans="3:14" x14ac:dyDescent="0.25">
      <c r="C1035" s="1">
        <v>45947</v>
      </c>
      <c r="D1035" s="2" t="s">
        <v>13</v>
      </c>
      <c r="E1035">
        <v>44090</v>
      </c>
      <c r="F1035">
        <v>1.4999999999999999E-2</v>
      </c>
      <c r="G1035">
        <v>1.4999999999999999E-2</v>
      </c>
      <c r="H1035">
        <v>1.4E-2</v>
      </c>
      <c r="I1035">
        <v>1.4E-2</v>
      </c>
      <c r="J1035">
        <v>593177</v>
      </c>
      <c r="K1035">
        <v>617.26</v>
      </c>
      <c r="L1035">
        <f t="shared" si="16"/>
        <v>0</v>
      </c>
      <c r="M1035">
        <f>+IF(DailyData[[#This Row],[Column1]]&gt;0,DailyData[[#This Row],[Column1]]-L1022,0)</f>
        <v>0</v>
      </c>
      <c r="N1035" s="1">
        <f>+IF(DailyData[[#This Row],[Column2]]=0,0,DailyData[[#This Row],[Date]])</f>
        <v>0</v>
      </c>
    </row>
    <row r="1036" spans="3:14" x14ac:dyDescent="0.25">
      <c r="C1036" s="1">
        <v>45947</v>
      </c>
      <c r="D1036" s="2" t="s">
        <v>14</v>
      </c>
      <c r="E1036">
        <v>0</v>
      </c>
      <c r="F1036">
        <v>167.5</v>
      </c>
      <c r="G1036">
        <v>168.96</v>
      </c>
      <c r="H1036">
        <v>167.25</v>
      </c>
      <c r="I1036">
        <v>168.32</v>
      </c>
      <c r="J1036">
        <v>2260083</v>
      </c>
      <c r="K1036">
        <v>0</v>
      </c>
      <c r="L1036">
        <f t="shared" si="16"/>
        <v>0</v>
      </c>
      <c r="M1036">
        <f>+IF(DailyData[[#This Row],[Column1]]&gt;0,DailyData[[#This Row],[Column1]]-L1023,0)</f>
        <v>0</v>
      </c>
      <c r="N1036" s="1">
        <f>+IF(DailyData[[#This Row],[Column2]]=0,0,DailyData[[#This Row],[Date]])</f>
        <v>0</v>
      </c>
    </row>
    <row r="1037" spans="3:14" x14ac:dyDescent="0.25">
      <c r="C1037" s="1">
        <v>45947</v>
      </c>
      <c r="D1037" s="2" t="s">
        <v>15</v>
      </c>
      <c r="E1037">
        <v>10000</v>
      </c>
      <c r="F1037">
        <v>0.49</v>
      </c>
      <c r="G1037">
        <v>0.49</v>
      </c>
      <c r="H1037">
        <v>0.45500000000000002</v>
      </c>
      <c r="I1037">
        <v>0.46500000000000002</v>
      </c>
      <c r="J1037">
        <v>612557</v>
      </c>
      <c r="K1037">
        <v>4650</v>
      </c>
      <c r="L1037">
        <f t="shared" si="16"/>
        <v>0</v>
      </c>
      <c r="M1037">
        <f>+IF(DailyData[[#This Row],[Column1]]&gt;0,DailyData[[#This Row],[Column1]]-L1024,0)</f>
        <v>0</v>
      </c>
      <c r="N1037" s="1">
        <f>+IF(DailyData[[#This Row],[Column2]]=0,0,DailyData[[#This Row],[Date]])</f>
        <v>0</v>
      </c>
    </row>
    <row r="1038" spans="3:14" x14ac:dyDescent="0.25">
      <c r="C1038" s="1">
        <v>45947</v>
      </c>
      <c r="D1038" s="2" t="s">
        <v>16</v>
      </c>
      <c r="E1038">
        <v>20000</v>
      </c>
      <c r="F1038">
        <v>0.46</v>
      </c>
      <c r="G1038">
        <v>0.46</v>
      </c>
      <c r="H1038">
        <v>0.36</v>
      </c>
      <c r="I1038">
        <v>0.38</v>
      </c>
      <c r="J1038">
        <v>897283</v>
      </c>
      <c r="K1038">
        <v>7600</v>
      </c>
      <c r="L1038">
        <f t="shared" si="16"/>
        <v>0</v>
      </c>
      <c r="M1038">
        <f>+IF(DailyData[[#This Row],[Column1]]&gt;0,DailyData[[#This Row],[Column1]]-L1025,0)</f>
        <v>0</v>
      </c>
      <c r="N1038" s="1">
        <f>+IF(DailyData[[#This Row],[Column2]]=0,0,DailyData[[#This Row],[Date]])</f>
        <v>0</v>
      </c>
    </row>
    <row r="1039" spans="3:14" x14ac:dyDescent="0.25">
      <c r="C1039" s="1">
        <v>45947</v>
      </c>
      <c r="D1039" s="2" t="s">
        <v>17</v>
      </c>
      <c r="E1039">
        <v>700000</v>
      </c>
      <c r="F1039">
        <v>3.0000000000000001E-3</v>
      </c>
      <c r="G1039">
        <v>3.0000000000000001E-3</v>
      </c>
      <c r="H1039">
        <v>2E-3</v>
      </c>
      <c r="I1039">
        <v>2E-3</v>
      </c>
      <c r="J1039">
        <v>222308</v>
      </c>
      <c r="K1039">
        <v>1400</v>
      </c>
      <c r="L1039">
        <f t="shared" si="16"/>
        <v>0</v>
      </c>
      <c r="M1039">
        <f>+IF(DailyData[[#This Row],[Column1]]&gt;0,DailyData[[#This Row],[Column1]]-L1026,0)</f>
        <v>0</v>
      </c>
      <c r="N1039" s="1">
        <f>+IF(DailyData[[#This Row],[Column2]]=0,0,DailyData[[#This Row],[Date]])</f>
        <v>0</v>
      </c>
    </row>
    <row r="1040" spans="3:14" x14ac:dyDescent="0.25">
      <c r="C1040" s="1">
        <v>45947</v>
      </c>
      <c r="D1040" s="2" t="s">
        <v>18</v>
      </c>
      <c r="E1040">
        <v>9412</v>
      </c>
      <c r="F1040">
        <v>0.315</v>
      </c>
      <c r="G1040">
        <v>0.315</v>
      </c>
      <c r="H1040">
        <v>0.29499999999999998</v>
      </c>
      <c r="I1040">
        <v>0.31</v>
      </c>
      <c r="J1040">
        <v>250988</v>
      </c>
      <c r="K1040">
        <v>2917.72</v>
      </c>
      <c r="L1040">
        <f t="shared" si="16"/>
        <v>0</v>
      </c>
      <c r="M1040">
        <f>+IF(DailyData[[#This Row],[Column1]]&gt;0,DailyData[[#This Row],[Column1]]-L1027,0)</f>
        <v>0</v>
      </c>
      <c r="N1040" s="1">
        <f>+IF(DailyData[[#This Row],[Column2]]=0,0,DailyData[[#This Row],[Date]])</f>
        <v>0</v>
      </c>
    </row>
    <row r="1041" spans="3:14" x14ac:dyDescent="0.25">
      <c r="C1041" s="1">
        <v>45947</v>
      </c>
      <c r="D1041" s="2" t="s">
        <v>19</v>
      </c>
      <c r="E1041">
        <v>6000</v>
      </c>
      <c r="F1041">
        <v>0.35</v>
      </c>
      <c r="G1041">
        <v>0.37</v>
      </c>
      <c r="H1041">
        <v>0.30499999999999999</v>
      </c>
      <c r="I1041">
        <v>0.35</v>
      </c>
      <c r="J1041">
        <v>821584</v>
      </c>
      <c r="K1041">
        <v>2100</v>
      </c>
      <c r="L1041">
        <f t="shared" ref="L1041:L1104" si="17">+IF(C1042&lt;&gt;C1041,SUM(K1029:K1041),0)</f>
        <v>0</v>
      </c>
      <c r="M1041">
        <f>+IF(DailyData[[#This Row],[Column1]]&gt;0,DailyData[[#This Row],[Column1]]-L1028,0)</f>
        <v>0</v>
      </c>
      <c r="N1041" s="1">
        <f>+IF(DailyData[[#This Row],[Column2]]=0,0,DailyData[[#This Row],[Date]])</f>
        <v>0</v>
      </c>
    </row>
    <row r="1042" spans="3:14" x14ac:dyDescent="0.25">
      <c r="C1042" s="1">
        <v>45947</v>
      </c>
      <c r="D1042" s="2" t="s">
        <v>20</v>
      </c>
      <c r="E1042">
        <v>0</v>
      </c>
      <c r="F1042">
        <v>38.770000000000003</v>
      </c>
      <c r="G1042">
        <v>39.200000000000003</v>
      </c>
      <c r="H1042">
        <v>38.65</v>
      </c>
      <c r="I1042">
        <v>38.729999999999997</v>
      </c>
      <c r="J1042">
        <v>5948179</v>
      </c>
      <c r="K1042">
        <v>0</v>
      </c>
      <c r="L1042">
        <f t="shared" si="17"/>
        <v>0</v>
      </c>
      <c r="M1042">
        <f>+IF(DailyData[[#This Row],[Column1]]&gt;0,DailyData[[#This Row],[Column1]]-L1029,0)</f>
        <v>0</v>
      </c>
      <c r="N1042" s="1">
        <f>+IF(DailyData[[#This Row],[Column2]]=0,0,DailyData[[#This Row],[Date]])</f>
        <v>0</v>
      </c>
    </row>
    <row r="1043" spans="3:14" x14ac:dyDescent="0.25">
      <c r="C1043" s="1">
        <v>45947</v>
      </c>
      <c r="D1043" s="2" t="s">
        <v>21</v>
      </c>
      <c r="E1043">
        <v>1288</v>
      </c>
      <c r="F1043">
        <v>22.38</v>
      </c>
      <c r="G1043">
        <v>22.5</v>
      </c>
      <c r="H1043">
        <v>22.1</v>
      </c>
      <c r="I1043">
        <v>22.1</v>
      </c>
      <c r="J1043">
        <v>5561724</v>
      </c>
      <c r="K1043">
        <v>28464.799999999999</v>
      </c>
      <c r="L1043">
        <f t="shared" si="17"/>
        <v>1150459.46</v>
      </c>
      <c r="M1043">
        <f>+IF(DailyData[[#This Row],[Column1]]&gt;0,DailyData[[#This Row],[Column1]]-L1030,0)</f>
        <v>-17156.030000000261</v>
      </c>
      <c r="N1043" s="1">
        <f>+IF(DailyData[[#This Row],[Column2]]=0,0,DailyData[[#This Row],[Date]])</f>
        <v>45947</v>
      </c>
    </row>
    <row r="1044" spans="3:14" x14ac:dyDescent="0.25">
      <c r="C1044" s="1">
        <v>45950</v>
      </c>
      <c r="D1044" s="2" t="s">
        <v>9</v>
      </c>
      <c r="E1044">
        <v>153181</v>
      </c>
      <c r="F1044">
        <v>1.08</v>
      </c>
      <c r="G1044">
        <v>1.087</v>
      </c>
      <c r="H1044">
        <v>1.05</v>
      </c>
      <c r="I1044">
        <v>1.08</v>
      </c>
      <c r="J1044">
        <v>7611704</v>
      </c>
      <c r="K1044">
        <v>165435.49</v>
      </c>
      <c r="L1044">
        <f t="shared" si="17"/>
        <v>0</v>
      </c>
      <c r="M1044">
        <f>+IF(DailyData[[#This Row],[Column1]]&gt;0,DailyData[[#This Row],[Column1]]-L1031,0)</f>
        <v>0</v>
      </c>
      <c r="N1044" s="1">
        <f>+IF(DailyData[[#This Row],[Column2]]=0,0,DailyData[[#This Row],[Date]])</f>
        <v>0</v>
      </c>
    </row>
    <row r="1045" spans="3:14" x14ac:dyDescent="0.25">
      <c r="C1045" s="1">
        <v>45950</v>
      </c>
      <c r="D1045" s="2" t="s">
        <v>10</v>
      </c>
      <c r="E1045">
        <v>70000</v>
      </c>
      <c r="F1045">
        <v>1.78</v>
      </c>
      <c r="G1045">
        <v>1.825</v>
      </c>
      <c r="H1045">
        <v>1.77</v>
      </c>
      <c r="I1045">
        <v>1.8</v>
      </c>
      <c r="J1045">
        <v>6271956</v>
      </c>
      <c r="K1045">
        <v>126000</v>
      </c>
      <c r="L1045">
        <f t="shared" si="17"/>
        <v>0</v>
      </c>
      <c r="M1045">
        <f>+IF(DailyData[[#This Row],[Column1]]&gt;0,DailyData[[#This Row],[Column1]]-L1032,0)</f>
        <v>0</v>
      </c>
      <c r="N1045" s="1">
        <f>+IF(DailyData[[#This Row],[Column2]]=0,0,DailyData[[#This Row],[Date]])</f>
        <v>0</v>
      </c>
    </row>
    <row r="1046" spans="3:14" x14ac:dyDescent="0.25">
      <c r="C1046" s="1">
        <v>45950</v>
      </c>
      <c r="D1046" s="2" t="s">
        <v>11</v>
      </c>
      <c r="E1046">
        <v>57458</v>
      </c>
      <c r="F1046">
        <v>1.45</v>
      </c>
      <c r="G1046">
        <v>1.45</v>
      </c>
      <c r="H1046">
        <v>1.2350000000000001</v>
      </c>
      <c r="I1046">
        <v>1.39</v>
      </c>
      <c r="J1046">
        <v>5545235</v>
      </c>
      <c r="K1046">
        <v>79866.62</v>
      </c>
      <c r="L1046">
        <f t="shared" si="17"/>
        <v>0</v>
      </c>
      <c r="M1046">
        <f>+IF(DailyData[[#This Row],[Column1]]&gt;0,DailyData[[#This Row],[Column1]]-L1033,0)</f>
        <v>0</v>
      </c>
      <c r="N1046" s="1">
        <f>+IF(DailyData[[#This Row],[Column2]]=0,0,DailyData[[#This Row],[Date]])</f>
        <v>0</v>
      </c>
    </row>
    <row r="1047" spans="3:14" x14ac:dyDescent="0.25">
      <c r="C1047" s="1">
        <v>45950</v>
      </c>
      <c r="D1047" s="2" t="s">
        <v>12</v>
      </c>
      <c r="E1047">
        <v>16361</v>
      </c>
      <c r="F1047">
        <v>42.85</v>
      </c>
      <c r="G1047">
        <v>43.14</v>
      </c>
      <c r="H1047">
        <v>42.79</v>
      </c>
      <c r="I1047">
        <v>43.14</v>
      </c>
      <c r="J1047">
        <v>8239848</v>
      </c>
      <c r="K1047">
        <v>705813.53</v>
      </c>
      <c r="L1047">
        <f t="shared" si="17"/>
        <v>0</v>
      </c>
      <c r="M1047">
        <f>+IF(DailyData[[#This Row],[Column1]]&gt;0,DailyData[[#This Row],[Column1]]-L1034,0)</f>
        <v>0</v>
      </c>
      <c r="N1047" s="1">
        <f>+IF(DailyData[[#This Row],[Column2]]=0,0,DailyData[[#This Row],[Date]])</f>
        <v>0</v>
      </c>
    </row>
    <row r="1048" spans="3:14" x14ac:dyDescent="0.25">
      <c r="C1048" s="1">
        <v>45950</v>
      </c>
      <c r="D1048" s="2" t="s">
        <v>13</v>
      </c>
      <c r="E1048">
        <v>44090</v>
      </c>
      <c r="F1048">
        <v>1.4E-2</v>
      </c>
      <c r="G1048">
        <v>1.4999999999999999E-2</v>
      </c>
      <c r="H1048">
        <v>1.4E-2</v>
      </c>
      <c r="I1048">
        <v>1.4E-2</v>
      </c>
      <c r="J1048">
        <v>186262</v>
      </c>
      <c r="K1048">
        <v>617.26</v>
      </c>
      <c r="L1048">
        <f t="shared" si="17"/>
        <v>0</v>
      </c>
      <c r="M1048">
        <f>+IF(DailyData[[#This Row],[Column1]]&gt;0,DailyData[[#This Row],[Column1]]-L1035,0)</f>
        <v>0</v>
      </c>
      <c r="N1048" s="1">
        <f>+IF(DailyData[[#This Row],[Column2]]=0,0,DailyData[[#This Row],[Date]])</f>
        <v>0</v>
      </c>
    </row>
    <row r="1049" spans="3:14" x14ac:dyDescent="0.25">
      <c r="C1049" s="1">
        <v>45950</v>
      </c>
      <c r="D1049" s="2" t="s">
        <v>14</v>
      </c>
      <c r="E1049">
        <v>0</v>
      </c>
      <c r="F1049">
        <v>168.53</v>
      </c>
      <c r="G1049">
        <v>172.73</v>
      </c>
      <c r="H1049">
        <v>167.51</v>
      </c>
      <c r="I1049">
        <v>172.7</v>
      </c>
      <c r="J1049">
        <v>2145323</v>
      </c>
      <c r="K1049">
        <v>0</v>
      </c>
      <c r="L1049">
        <f t="shared" si="17"/>
        <v>0</v>
      </c>
      <c r="M1049">
        <f>+IF(DailyData[[#This Row],[Column1]]&gt;0,DailyData[[#This Row],[Column1]]-L1036,0)</f>
        <v>0</v>
      </c>
      <c r="N1049" s="1">
        <f>+IF(DailyData[[#This Row],[Column2]]=0,0,DailyData[[#This Row],[Date]])</f>
        <v>0</v>
      </c>
    </row>
    <row r="1050" spans="3:14" x14ac:dyDescent="0.25">
      <c r="C1050" s="1">
        <v>45950</v>
      </c>
      <c r="D1050" s="2" t="s">
        <v>15</v>
      </c>
      <c r="E1050">
        <v>10000</v>
      </c>
      <c r="F1050">
        <v>0.46</v>
      </c>
      <c r="G1050">
        <v>0.47</v>
      </c>
      <c r="H1050">
        <v>0.44</v>
      </c>
      <c r="I1050">
        <v>0.46</v>
      </c>
      <c r="J1050">
        <v>981889</v>
      </c>
      <c r="K1050">
        <v>4600</v>
      </c>
      <c r="L1050">
        <f t="shared" si="17"/>
        <v>0</v>
      </c>
      <c r="M1050">
        <f>+IF(DailyData[[#This Row],[Column1]]&gt;0,DailyData[[#This Row],[Column1]]-L1037,0)</f>
        <v>0</v>
      </c>
      <c r="N1050" s="1">
        <f>+IF(DailyData[[#This Row],[Column2]]=0,0,DailyData[[#This Row],[Date]])</f>
        <v>0</v>
      </c>
    </row>
    <row r="1051" spans="3:14" x14ac:dyDescent="0.25">
      <c r="C1051" s="1">
        <v>45950</v>
      </c>
      <c r="D1051" s="2" t="s">
        <v>16</v>
      </c>
      <c r="E1051">
        <v>20000</v>
      </c>
      <c r="F1051">
        <v>0.39</v>
      </c>
      <c r="G1051">
        <v>0.39</v>
      </c>
      <c r="H1051">
        <v>0.35</v>
      </c>
      <c r="I1051">
        <v>0.37</v>
      </c>
      <c r="J1051">
        <v>384756</v>
      </c>
      <c r="K1051">
        <v>7400</v>
      </c>
      <c r="L1051">
        <f t="shared" si="17"/>
        <v>0</v>
      </c>
      <c r="M1051">
        <f>+IF(DailyData[[#This Row],[Column1]]&gt;0,DailyData[[#This Row],[Column1]]-L1038,0)</f>
        <v>0</v>
      </c>
      <c r="N1051" s="1">
        <f>+IF(DailyData[[#This Row],[Column2]]=0,0,DailyData[[#This Row],[Date]])</f>
        <v>0</v>
      </c>
    </row>
    <row r="1052" spans="3:14" x14ac:dyDescent="0.25">
      <c r="C1052" s="1">
        <v>45950</v>
      </c>
      <c r="D1052" s="2" t="s">
        <v>17</v>
      </c>
      <c r="E1052">
        <v>700000</v>
      </c>
      <c r="F1052">
        <v>3.0000000000000001E-3</v>
      </c>
      <c r="G1052">
        <v>3.0000000000000001E-3</v>
      </c>
      <c r="H1052">
        <v>2E-3</v>
      </c>
      <c r="I1052">
        <v>2E-3</v>
      </c>
      <c r="J1052">
        <v>2323593</v>
      </c>
      <c r="K1052">
        <v>1400</v>
      </c>
      <c r="L1052">
        <f t="shared" si="17"/>
        <v>0</v>
      </c>
      <c r="M1052">
        <f>+IF(DailyData[[#This Row],[Column1]]&gt;0,DailyData[[#This Row],[Column1]]-L1039,0)</f>
        <v>0</v>
      </c>
      <c r="N1052" s="1">
        <f>+IF(DailyData[[#This Row],[Column2]]=0,0,DailyData[[#This Row],[Date]])</f>
        <v>0</v>
      </c>
    </row>
    <row r="1053" spans="3:14" x14ac:dyDescent="0.25">
      <c r="C1053" s="1">
        <v>45950</v>
      </c>
      <c r="D1053" s="2" t="s">
        <v>18</v>
      </c>
      <c r="E1053">
        <v>9412</v>
      </c>
      <c r="F1053">
        <v>0.30499999999999999</v>
      </c>
      <c r="G1053">
        <v>0.31</v>
      </c>
      <c r="H1053">
        <v>0.29499999999999998</v>
      </c>
      <c r="I1053">
        <v>0.3</v>
      </c>
      <c r="J1053">
        <v>93091</v>
      </c>
      <c r="K1053">
        <v>2823.6</v>
      </c>
      <c r="L1053">
        <f t="shared" si="17"/>
        <v>0</v>
      </c>
      <c r="M1053">
        <f>+IF(DailyData[[#This Row],[Column1]]&gt;0,DailyData[[#This Row],[Column1]]-L1040,0)</f>
        <v>0</v>
      </c>
      <c r="N1053" s="1">
        <f>+IF(DailyData[[#This Row],[Column2]]=0,0,DailyData[[#This Row],[Date]])</f>
        <v>0</v>
      </c>
    </row>
    <row r="1054" spans="3:14" x14ac:dyDescent="0.25">
      <c r="C1054" s="1">
        <v>45950</v>
      </c>
      <c r="D1054" s="2" t="s">
        <v>19</v>
      </c>
      <c r="E1054">
        <v>6000</v>
      </c>
      <c r="F1054">
        <v>0.33</v>
      </c>
      <c r="G1054">
        <v>0.36499999999999999</v>
      </c>
      <c r="H1054">
        <v>0.32</v>
      </c>
      <c r="I1054">
        <v>0.36499999999999999</v>
      </c>
      <c r="J1054">
        <v>364333</v>
      </c>
      <c r="K1054">
        <v>2190</v>
      </c>
      <c r="L1054">
        <f t="shared" si="17"/>
        <v>0</v>
      </c>
      <c r="M1054">
        <f>+IF(DailyData[[#This Row],[Column1]]&gt;0,DailyData[[#This Row],[Column1]]-L1041,0)</f>
        <v>0</v>
      </c>
      <c r="N1054" s="1">
        <f>+IF(DailyData[[#This Row],[Column2]]=0,0,DailyData[[#This Row],[Date]])</f>
        <v>0</v>
      </c>
    </row>
    <row r="1055" spans="3:14" x14ac:dyDescent="0.25">
      <c r="C1055" s="1">
        <v>45950</v>
      </c>
      <c r="D1055" s="2" t="s">
        <v>20</v>
      </c>
      <c r="E1055">
        <v>0</v>
      </c>
      <c r="F1055">
        <v>38.86</v>
      </c>
      <c r="G1055">
        <v>39.270000000000003</v>
      </c>
      <c r="H1055">
        <v>38.75</v>
      </c>
      <c r="I1055">
        <v>39.270000000000003</v>
      </c>
      <c r="J1055">
        <v>2715683</v>
      </c>
      <c r="K1055">
        <v>0</v>
      </c>
      <c r="L1055">
        <f t="shared" si="17"/>
        <v>0</v>
      </c>
      <c r="M1055">
        <f>+IF(DailyData[[#This Row],[Column1]]&gt;0,DailyData[[#This Row],[Column1]]-L1042,0)</f>
        <v>0</v>
      </c>
      <c r="N1055" s="1">
        <f>+IF(DailyData[[#This Row],[Column2]]=0,0,DailyData[[#This Row],[Date]])</f>
        <v>0</v>
      </c>
    </row>
    <row r="1056" spans="3:14" x14ac:dyDescent="0.25">
      <c r="C1056" s="1">
        <v>45950</v>
      </c>
      <c r="D1056" s="2" t="s">
        <v>21</v>
      </c>
      <c r="E1056">
        <v>1288</v>
      </c>
      <c r="F1056">
        <v>22.2</v>
      </c>
      <c r="G1056">
        <v>22.26</v>
      </c>
      <c r="H1056">
        <v>22.01</v>
      </c>
      <c r="I1056">
        <v>22.26</v>
      </c>
      <c r="J1056">
        <v>3524182</v>
      </c>
      <c r="K1056">
        <v>28670.880000000001</v>
      </c>
      <c r="L1056">
        <f t="shared" si="17"/>
        <v>1124817.3800000001</v>
      </c>
      <c r="M1056">
        <f>+IF(DailyData[[#This Row],[Column1]]&gt;0,DailyData[[#This Row],[Column1]]-L1043,0)</f>
        <v>-25642.079999999842</v>
      </c>
      <c r="N1056" s="1">
        <f>+IF(DailyData[[#This Row],[Column2]]=0,0,DailyData[[#This Row],[Date]])</f>
        <v>45950</v>
      </c>
    </row>
    <row r="1057" spans="3:14" x14ac:dyDescent="0.25">
      <c r="C1057" s="1">
        <v>45951</v>
      </c>
      <c r="D1057" s="2" t="s">
        <v>9</v>
      </c>
      <c r="E1057">
        <v>153181</v>
      </c>
      <c r="F1057">
        <v>1.1299999999999999</v>
      </c>
      <c r="G1057">
        <v>1.1299999999999999</v>
      </c>
      <c r="H1057">
        <v>1.07</v>
      </c>
      <c r="I1057">
        <v>1.0900000000000001</v>
      </c>
      <c r="J1057">
        <v>6229319</v>
      </c>
      <c r="K1057">
        <v>166967.29999999999</v>
      </c>
      <c r="L1057">
        <f t="shared" si="17"/>
        <v>0</v>
      </c>
      <c r="M1057">
        <f>+IF(DailyData[[#This Row],[Column1]]&gt;0,DailyData[[#This Row],[Column1]]-L1044,0)</f>
        <v>0</v>
      </c>
      <c r="N1057" s="1">
        <f>+IF(DailyData[[#This Row],[Column2]]=0,0,DailyData[[#This Row],[Date]])</f>
        <v>0</v>
      </c>
    </row>
    <row r="1058" spans="3:14" x14ac:dyDescent="0.25">
      <c r="C1058" s="1">
        <v>45951</v>
      </c>
      <c r="D1058" s="2" t="s">
        <v>10</v>
      </c>
      <c r="E1058">
        <v>70000</v>
      </c>
      <c r="F1058">
        <v>1.8149999999999999</v>
      </c>
      <c r="G1058">
        <v>1.865</v>
      </c>
      <c r="H1058">
        <v>1.7929999999999999</v>
      </c>
      <c r="I1058">
        <v>1.845</v>
      </c>
      <c r="J1058">
        <v>8589659</v>
      </c>
      <c r="K1058">
        <v>129150</v>
      </c>
      <c r="L1058">
        <f t="shared" si="17"/>
        <v>0</v>
      </c>
      <c r="M1058">
        <f>+IF(DailyData[[#This Row],[Column1]]&gt;0,DailyData[[#This Row],[Column1]]-L1045,0)</f>
        <v>0</v>
      </c>
      <c r="N1058" s="1">
        <f>+IF(DailyData[[#This Row],[Column2]]=0,0,DailyData[[#This Row],[Date]])</f>
        <v>0</v>
      </c>
    </row>
    <row r="1059" spans="3:14" x14ac:dyDescent="0.25">
      <c r="C1059" s="1">
        <v>45951</v>
      </c>
      <c r="D1059" s="2" t="s">
        <v>11</v>
      </c>
      <c r="E1059">
        <v>57458</v>
      </c>
      <c r="F1059">
        <v>1.625</v>
      </c>
      <c r="G1059">
        <v>1.7</v>
      </c>
      <c r="H1059">
        <v>1.5</v>
      </c>
      <c r="I1059">
        <v>1.5049999999999999</v>
      </c>
      <c r="J1059">
        <v>5437845</v>
      </c>
      <c r="K1059">
        <v>86474.29</v>
      </c>
      <c r="L1059">
        <f t="shared" si="17"/>
        <v>0</v>
      </c>
      <c r="M1059">
        <f>+IF(DailyData[[#This Row],[Column1]]&gt;0,DailyData[[#This Row],[Column1]]-L1046,0)</f>
        <v>0</v>
      </c>
      <c r="N1059" s="1">
        <f>+IF(DailyData[[#This Row],[Column2]]=0,0,DailyData[[#This Row],[Date]])</f>
        <v>0</v>
      </c>
    </row>
    <row r="1060" spans="3:14" x14ac:dyDescent="0.25">
      <c r="C1060" s="1">
        <v>45951</v>
      </c>
      <c r="D1060" s="2" t="s">
        <v>12</v>
      </c>
      <c r="E1060">
        <v>16361</v>
      </c>
      <c r="F1060">
        <v>43.8</v>
      </c>
      <c r="G1060">
        <v>44.33</v>
      </c>
      <c r="H1060">
        <v>43.73</v>
      </c>
      <c r="I1060">
        <v>44.13</v>
      </c>
      <c r="J1060">
        <v>9494518</v>
      </c>
      <c r="K1060">
        <v>722010.95</v>
      </c>
      <c r="L1060">
        <f t="shared" si="17"/>
        <v>0</v>
      </c>
      <c r="M1060">
        <f>+IF(DailyData[[#This Row],[Column1]]&gt;0,DailyData[[#This Row],[Column1]]-L1047,0)</f>
        <v>0</v>
      </c>
      <c r="N1060" s="1">
        <f>+IF(DailyData[[#This Row],[Column2]]=0,0,DailyData[[#This Row],[Date]])</f>
        <v>0</v>
      </c>
    </row>
    <row r="1061" spans="3:14" x14ac:dyDescent="0.25">
      <c r="C1061" s="1">
        <v>45951</v>
      </c>
      <c r="D1061" s="2" t="s">
        <v>13</v>
      </c>
      <c r="E1061">
        <v>44090</v>
      </c>
      <c r="F1061">
        <v>1.4999999999999999E-2</v>
      </c>
      <c r="G1061">
        <v>1.4999999999999999E-2</v>
      </c>
      <c r="H1061">
        <v>1.4E-2</v>
      </c>
      <c r="I1061">
        <v>1.4E-2</v>
      </c>
      <c r="J1061">
        <v>462606</v>
      </c>
      <c r="K1061">
        <v>617.26</v>
      </c>
      <c r="L1061">
        <f t="shared" si="17"/>
        <v>0</v>
      </c>
      <c r="M1061">
        <f>+IF(DailyData[[#This Row],[Column1]]&gt;0,DailyData[[#This Row],[Column1]]-L1048,0)</f>
        <v>0</v>
      </c>
      <c r="N1061" s="1">
        <f>+IF(DailyData[[#This Row],[Column2]]=0,0,DailyData[[#This Row],[Date]])</f>
        <v>0</v>
      </c>
    </row>
    <row r="1062" spans="3:14" x14ac:dyDescent="0.25">
      <c r="C1062" s="1">
        <v>45951</v>
      </c>
      <c r="D1062" s="2" t="s">
        <v>14</v>
      </c>
      <c r="E1062">
        <v>0</v>
      </c>
      <c r="F1062">
        <v>173</v>
      </c>
      <c r="G1062">
        <v>174.36</v>
      </c>
      <c r="H1062">
        <v>171.86500000000001</v>
      </c>
      <c r="I1062">
        <v>173.56</v>
      </c>
      <c r="J1062">
        <v>2192193</v>
      </c>
      <c r="K1062">
        <v>0</v>
      </c>
      <c r="L1062">
        <f t="shared" si="17"/>
        <v>0</v>
      </c>
      <c r="M1062">
        <f>+IF(DailyData[[#This Row],[Column1]]&gt;0,DailyData[[#This Row],[Column1]]-L1049,0)</f>
        <v>0</v>
      </c>
      <c r="N1062" s="1">
        <f>+IF(DailyData[[#This Row],[Column2]]=0,0,DailyData[[#This Row],[Date]])</f>
        <v>0</v>
      </c>
    </row>
    <row r="1063" spans="3:14" x14ac:dyDescent="0.25">
      <c r="C1063" s="1">
        <v>45951</v>
      </c>
      <c r="D1063" s="2" t="s">
        <v>15</v>
      </c>
      <c r="E1063">
        <v>10000</v>
      </c>
      <c r="F1063">
        <v>0.47</v>
      </c>
      <c r="G1063">
        <v>0.47</v>
      </c>
      <c r="H1063">
        <v>0.45</v>
      </c>
      <c r="I1063">
        <v>0.46</v>
      </c>
      <c r="J1063">
        <v>444131</v>
      </c>
      <c r="K1063">
        <v>4600</v>
      </c>
      <c r="L1063">
        <f t="shared" si="17"/>
        <v>0</v>
      </c>
      <c r="M1063">
        <f>+IF(DailyData[[#This Row],[Column1]]&gt;0,DailyData[[#This Row],[Column1]]-L1050,0)</f>
        <v>0</v>
      </c>
      <c r="N1063" s="1">
        <f>+IF(DailyData[[#This Row],[Column2]]=0,0,DailyData[[#This Row],[Date]])</f>
        <v>0</v>
      </c>
    </row>
    <row r="1064" spans="3:14" x14ac:dyDescent="0.25">
      <c r="C1064" s="1">
        <v>45951</v>
      </c>
      <c r="D1064" s="2" t="s">
        <v>16</v>
      </c>
      <c r="E1064">
        <v>20000</v>
      </c>
      <c r="F1064">
        <v>0.41</v>
      </c>
      <c r="G1064">
        <v>0.41</v>
      </c>
      <c r="H1064">
        <v>0.375</v>
      </c>
      <c r="I1064">
        <v>0.39</v>
      </c>
      <c r="J1064">
        <v>543055</v>
      </c>
      <c r="K1064">
        <v>7800</v>
      </c>
      <c r="L1064">
        <f t="shared" si="17"/>
        <v>0</v>
      </c>
      <c r="M1064">
        <f>+IF(DailyData[[#This Row],[Column1]]&gt;0,DailyData[[#This Row],[Column1]]-L1051,0)</f>
        <v>0</v>
      </c>
      <c r="N1064" s="1">
        <f>+IF(DailyData[[#This Row],[Column2]]=0,0,DailyData[[#This Row],[Date]])</f>
        <v>0</v>
      </c>
    </row>
    <row r="1065" spans="3:14" x14ac:dyDescent="0.25">
      <c r="C1065" s="1">
        <v>45951</v>
      </c>
      <c r="D1065" s="2" t="s">
        <v>17</v>
      </c>
      <c r="E1065">
        <v>700000</v>
      </c>
      <c r="F1065">
        <v>2E-3</v>
      </c>
      <c r="G1065">
        <v>2E-3</v>
      </c>
      <c r="H1065">
        <v>2E-3</v>
      </c>
      <c r="I1065">
        <v>2E-3</v>
      </c>
      <c r="J1065">
        <v>3932461</v>
      </c>
      <c r="K1065">
        <v>1400</v>
      </c>
      <c r="L1065">
        <f t="shared" si="17"/>
        <v>0</v>
      </c>
      <c r="M1065">
        <f>+IF(DailyData[[#This Row],[Column1]]&gt;0,DailyData[[#This Row],[Column1]]-L1052,0)</f>
        <v>0</v>
      </c>
      <c r="N1065" s="1">
        <f>+IF(DailyData[[#This Row],[Column2]]=0,0,DailyData[[#This Row],[Date]])</f>
        <v>0</v>
      </c>
    </row>
    <row r="1066" spans="3:14" x14ac:dyDescent="0.25">
      <c r="C1066" s="1">
        <v>45951</v>
      </c>
      <c r="D1066" s="2" t="s">
        <v>18</v>
      </c>
      <c r="E1066">
        <v>9412</v>
      </c>
      <c r="F1066">
        <v>0.315</v>
      </c>
      <c r="G1066">
        <v>0.315</v>
      </c>
      <c r="H1066">
        <v>0.3</v>
      </c>
      <c r="I1066">
        <v>0.30499999999999999</v>
      </c>
      <c r="J1066">
        <v>163577</v>
      </c>
      <c r="K1066">
        <v>2870.66</v>
      </c>
      <c r="L1066">
        <f t="shared" si="17"/>
        <v>0</v>
      </c>
      <c r="M1066">
        <f>+IF(DailyData[[#This Row],[Column1]]&gt;0,DailyData[[#This Row],[Column1]]-L1053,0)</f>
        <v>0</v>
      </c>
      <c r="N1066" s="1">
        <f>+IF(DailyData[[#This Row],[Column2]]=0,0,DailyData[[#This Row],[Date]])</f>
        <v>0</v>
      </c>
    </row>
    <row r="1067" spans="3:14" x14ac:dyDescent="0.25">
      <c r="C1067" s="1">
        <v>45951</v>
      </c>
      <c r="D1067" s="2" t="s">
        <v>19</v>
      </c>
      <c r="E1067">
        <v>6000</v>
      </c>
      <c r="F1067">
        <v>0.37</v>
      </c>
      <c r="G1067">
        <v>0.41</v>
      </c>
      <c r="H1067">
        <v>0.32500000000000001</v>
      </c>
      <c r="I1067">
        <v>0.32500000000000001</v>
      </c>
      <c r="J1067">
        <v>1363931</v>
      </c>
      <c r="K1067">
        <v>1950</v>
      </c>
      <c r="L1067">
        <f t="shared" si="17"/>
        <v>0</v>
      </c>
      <c r="M1067">
        <f>+IF(DailyData[[#This Row],[Column1]]&gt;0,DailyData[[#This Row],[Column1]]-L1054,0)</f>
        <v>0</v>
      </c>
      <c r="N1067" s="1">
        <f>+IF(DailyData[[#This Row],[Column2]]=0,0,DailyData[[#This Row],[Date]])</f>
        <v>0</v>
      </c>
    </row>
    <row r="1068" spans="3:14" x14ac:dyDescent="0.25">
      <c r="C1068" s="1">
        <v>45951</v>
      </c>
      <c r="D1068" s="2" t="s">
        <v>20</v>
      </c>
      <c r="E1068">
        <v>0</v>
      </c>
      <c r="F1068">
        <v>39.270000000000003</v>
      </c>
      <c r="G1068">
        <v>39.450000000000003</v>
      </c>
      <c r="H1068">
        <v>38.94</v>
      </c>
      <c r="I1068">
        <v>39.200000000000003</v>
      </c>
      <c r="J1068">
        <v>4188508</v>
      </c>
      <c r="K1068">
        <v>0</v>
      </c>
      <c r="L1068">
        <f t="shared" si="17"/>
        <v>0</v>
      </c>
      <c r="M1068">
        <f>+IF(DailyData[[#This Row],[Column1]]&gt;0,DailyData[[#This Row],[Column1]]-L1055,0)</f>
        <v>0</v>
      </c>
      <c r="N1068" s="1">
        <f>+IF(DailyData[[#This Row],[Column2]]=0,0,DailyData[[#This Row],[Date]])</f>
        <v>0</v>
      </c>
    </row>
    <row r="1069" spans="3:14" x14ac:dyDescent="0.25">
      <c r="C1069" s="1">
        <v>45951</v>
      </c>
      <c r="D1069" s="2" t="s">
        <v>21</v>
      </c>
      <c r="E1069">
        <v>1288</v>
      </c>
      <c r="F1069">
        <v>22.28</v>
      </c>
      <c r="G1069">
        <v>22.64</v>
      </c>
      <c r="H1069">
        <v>22.22</v>
      </c>
      <c r="I1069">
        <v>22.39</v>
      </c>
      <c r="J1069">
        <v>4581724</v>
      </c>
      <c r="K1069">
        <v>28838.32</v>
      </c>
      <c r="L1069">
        <f t="shared" si="17"/>
        <v>1152678.78</v>
      </c>
      <c r="M1069">
        <f>+IF(DailyData[[#This Row],[Column1]]&gt;0,DailyData[[#This Row],[Column1]]-L1056,0)</f>
        <v>27861.399999999907</v>
      </c>
      <c r="N1069" s="1">
        <f>+IF(DailyData[[#This Row],[Column2]]=0,0,DailyData[[#This Row],[Date]])</f>
        <v>45951</v>
      </c>
    </row>
    <row r="1070" spans="3:14" x14ac:dyDescent="0.25">
      <c r="C1070" s="1">
        <v>45952</v>
      </c>
      <c r="D1070" s="2" t="s">
        <v>9</v>
      </c>
      <c r="E1070">
        <v>153181</v>
      </c>
      <c r="F1070">
        <v>1.0149999999999999</v>
      </c>
      <c r="G1070">
        <v>1.0529999999999999</v>
      </c>
      <c r="H1070">
        <v>0.98</v>
      </c>
      <c r="I1070">
        <v>1.05</v>
      </c>
      <c r="J1070">
        <v>12053977</v>
      </c>
      <c r="K1070">
        <v>160840.04</v>
      </c>
      <c r="L1070">
        <f t="shared" si="17"/>
        <v>0</v>
      </c>
      <c r="M1070">
        <f>+IF(DailyData[[#This Row],[Column1]]&gt;0,DailyData[[#This Row],[Column1]]-L1057,0)</f>
        <v>0</v>
      </c>
      <c r="N1070" s="1">
        <f>+IF(DailyData[[#This Row],[Column2]]=0,0,DailyData[[#This Row],[Date]])</f>
        <v>0</v>
      </c>
    </row>
    <row r="1071" spans="3:14" x14ac:dyDescent="0.25">
      <c r="C1071" s="1">
        <v>45952</v>
      </c>
      <c r="D1071" s="2" t="s">
        <v>10</v>
      </c>
      <c r="E1071">
        <v>70000</v>
      </c>
      <c r="F1071">
        <v>1.83</v>
      </c>
      <c r="G1071">
        <v>1.85</v>
      </c>
      <c r="H1071">
        <v>1.8049999999999999</v>
      </c>
      <c r="I1071">
        <v>1.8149999999999999</v>
      </c>
      <c r="J1071">
        <v>6246769</v>
      </c>
      <c r="K1071">
        <v>127050</v>
      </c>
      <c r="L1071">
        <f t="shared" si="17"/>
        <v>0</v>
      </c>
      <c r="M1071">
        <f>+IF(DailyData[[#This Row],[Column1]]&gt;0,DailyData[[#This Row],[Column1]]-L1058,0)</f>
        <v>0</v>
      </c>
      <c r="N1071" s="1">
        <f>+IF(DailyData[[#This Row],[Column2]]=0,0,DailyData[[#This Row],[Date]])</f>
        <v>0</v>
      </c>
    </row>
    <row r="1072" spans="3:14" x14ac:dyDescent="0.25">
      <c r="C1072" s="1">
        <v>45952</v>
      </c>
      <c r="D1072" s="2" t="s">
        <v>11</v>
      </c>
      <c r="E1072">
        <v>57458</v>
      </c>
      <c r="F1072">
        <v>1.55</v>
      </c>
      <c r="G1072">
        <v>1.5549999999999999</v>
      </c>
      <c r="H1072">
        <v>1.3049999999999999</v>
      </c>
      <c r="I1072">
        <v>1.33</v>
      </c>
      <c r="J1072">
        <v>3354139</v>
      </c>
      <c r="K1072">
        <v>76419.14</v>
      </c>
      <c r="L1072">
        <f t="shared" si="17"/>
        <v>0</v>
      </c>
      <c r="M1072">
        <f>+IF(DailyData[[#This Row],[Column1]]&gt;0,DailyData[[#This Row],[Column1]]-L1059,0)</f>
        <v>0</v>
      </c>
      <c r="N1072" s="1">
        <f>+IF(DailyData[[#This Row],[Column2]]=0,0,DailyData[[#This Row],[Date]])</f>
        <v>0</v>
      </c>
    </row>
    <row r="1073" spans="3:14" x14ac:dyDescent="0.25">
      <c r="C1073" s="1">
        <v>45952</v>
      </c>
      <c r="D1073" s="2" t="s">
        <v>12</v>
      </c>
      <c r="E1073">
        <v>16361</v>
      </c>
      <c r="F1073">
        <v>43.4</v>
      </c>
      <c r="G1073">
        <v>43.68</v>
      </c>
      <c r="H1073">
        <v>43.11</v>
      </c>
      <c r="I1073">
        <v>43.51</v>
      </c>
      <c r="J1073">
        <v>7313867</v>
      </c>
      <c r="K1073">
        <v>711867.08</v>
      </c>
      <c r="L1073">
        <f t="shared" si="17"/>
        <v>0</v>
      </c>
      <c r="M1073">
        <f>+IF(DailyData[[#This Row],[Column1]]&gt;0,DailyData[[#This Row],[Column1]]-L1060,0)</f>
        <v>0</v>
      </c>
      <c r="N1073" s="1">
        <f>+IF(DailyData[[#This Row],[Column2]]=0,0,DailyData[[#This Row],[Date]])</f>
        <v>0</v>
      </c>
    </row>
    <row r="1074" spans="3:14" x14ac:dyDescent="0.25">
      <c r="C1074" s="1">
        <v>45952</v>
      </c>
      <c r="D1074" s="2" t="s">
        <v>13</v>
      </c>
      <c r="E1074">
        <v>44090</v>
      </c>
      <c r="F1074">
        <v>1.4E-2</v>
      </c>
      <c r="G1074">
        <v>1.4E-2</v>
      </c>
      <c r="H1074">
        <v>1.4E-2</v>
      </c>
      <c r="I1074">
        <v>1.4E-2</v>
      </c>
      <c r="J1074">
        <v>290222</v>
      </c>
      <c r="K1074">
        <v>617.26</v>
      </c>
      <c r="L1074">
        <f t="shared" si="17"/>
        <v>0</v>
      </c>
      <c r="M1074">
        <f>+IF(DailyData[[#This Row],[Column1]]&gt;0,DailyData[[#This Row],[Column1]]-L1061,0)</f>
        <v>0</v>
      </c>
      <c r="N1074" s="1">
        <f>+IF(DailyData[[#This Row],[Column2]]=0,0,DailyData[[#This Row],[Date]])</f>
        <v>0</v>
      </c>
    </row>
    <row r="1075" spans="3:14" x14ac:dyDescent="0.25">
      <c r="C1075" s="1">
        <v>45952</v>
      </c>
      <c r="D1075" s="2" t="s">
        <v>14</v>
      </c>
      <c r="E1075">
        <v>0</v>
      </c>
      <c r="F1075">
        <v>173.49</v>
      </c>
      <c r="G1075">
        <v>174.88</v>
      </c>
      <c r="H1075">
        <v>173.4</v>
      </c>
      <c r="I1075">
        <v>174.15</v>
      </c>
      <c r="J1075">
        <v>1801032</v>
      </c>
      <c r="K1075">
        <v>0</v>
      </c>
      <c r="L1075">
        <f t="shared" si="17"/>
        <v>0</v>
      </c>
      <c r="M1075">
        <f>+IF(DailyData[[#This Row],[Column1]]&gt;0,DailyData[[#This Row],[Column1]]-L1062,0)</f>
        <v>0</v>
      </c>
      <c r="N1075" s="1">
        <f>+IF(DailyData[[#This Row],[Column2]]=0,0,DailyData[[#This Row],[Date]])</f>
        <v>0</v>
      </c>
    </row>
    <row r="1076" spans="3:14" x14ac:dyDescent="0.25">
      <c r="C1076" s="1">
        <v>45952</v>
      </c>
      <c r="D1076" s="2" t="s">
        <v>15</v>
      </c>
      <c r="E1076">
        <v>10000</v>
      </c>
      <c r="F1076">
        <v>0.45</v>
      </c>
      <c r="G1076">
        <v>0.45</v>
      </c>
      <c r="H1076">
        <v>0.41499999999999998</v>
      </c>
      <c r="I1076">
        <v>0.435</v>
      </c>
      <c r="J1076">
        <v>969154</v>
      </c>
      <c r="K1076">
        <v>4350</v>
      </c>
      <c r="L1076">
        <f t="shared" si="17"/>
        <v>0</v>
      </c>
      <c r="M1076">
        <f>+IF(DailyData[[#This Row],[Column1]]&gt;0,DailyData[[#This Row],[Column1]]-L1063,0)</f>
        <v>0</v>
      </c>
      <c r="N1076" s="1">
        <f>+IF(DailyData[[#This Row],[Column2]]=0,0,DailyData[[#This Row],[Date]])</f>
        <v>0</v>
      </c>
    </row>
    <row r="1077" spans="3:14" x14ac:dyDescent="0.25">
      <c r="C1077" s="1">
        <v>45952</v>
      </c>
      <c r="D1077" s="2" t="s">
        <v>16</v>
      </c>
      <c r="E1077">
        <v>20000</v>
      </c>
      <c r="F1077">
        <v>0.375</v>
      </c>
      <c r="G1077">
        <v>0.39</v>
      </c>
      <c r="H1077">
        <v>0.35499999999999998</v>
      </c>
      <c r="I1077">
        <v>0.36499999999999999</v>
      </c>
      <c r="J1077">
        <v>645955</v>
      </c>
      <c r="K1077">
        <v>7300</v>
      </c>
      <c r="L1077">
        <f t="shared" si="17"/>
        <v>0</v>
      </c>
      <c r="M1077">
        <f>+IF(DailyData[[#This Row],[Column1]]&gt;0,DailyData[[#This Row],[Column1]]-L1064,0)</f>
        <v>0</v>
      </c>
      <c r="N1077" s="1">
        <f>+IF(DailyData[[#This Row],[Column2]]=0,0,DailyData[[#This Row],[Date]])</f>
        <v>0</v>
      </c>
    </row>
    <row r="1078" spans="3:14" x14ac:dyDescent="0.25">
      <c r="C1078" s="1">
        <v>45952</v>
      </c>
      <c r="D1078" s="2" t="s">
        <v>17</v>
      </c>
      <c r="E1078">
        <v>700000</v>
      </c>
      <c r="F1078">
        <v>3.0000000000000001E-3</v>
      </c>
      <c r="G1078">
        <v>3.0000000000000001E-3</v>
      </c>
      <c r="H1078">
        <v>2E-3</v>
      </c>
      <c r="I1078">
        <v>2E-3</v>
      </c>
      <c r="J1078">
        <v>2294591</v>
      </c>
      <c r="K1078">
        <v>1750</v>
      </c>
      <c r="L1078">
        <f t="shared" si="17"/>
        <v>0</v>
      </c>
      <c r="M1078">
        <f>+IF(DailyData[[#This Row],[Column1]]&gt;0,DailyData[[#This Row],[Column1]]-L1065,0)</f>
        <v>0</v>
      </c>
      <c r="N1078" s="1">
        <f>+IF(DailyData[[#This Row],[Column2]]=0,0,DailyData[[#This Row],[Date]])</f>
        <v>0</v>
      </c>
    </row>
    <row r="1079" spans="3:14" x14ac:dyDescent="0.25">
      <c r="C1079" s="1">
        <v>45952</v>
      </c>
      <c r="D1079" s="2" t="s">
        <v>18</v>
      </c>
      <c r="E1079">
        <v>9412</v>
      </c>
      <c r="F1079">
        <v>0.3</v>
      </c>
      <c r="G1079">
        <v>0.31</v>
      </c>
      <c r="H1079">
        <v>0.28999999999999998</v>
      </c>
      <c r="I1079">
        <v>0.28999999999999998</v>
      </c>
      <c r="J1079">
        <v>466165</v>
      </c>
      <c r="K1079">
        <v>2729.48</v>
      </c>
      <c r="L1079">
        <f t="shared" si="17"/>
        <v>0</v>
      </c>
      <c r="M1079">
        <f>+IF(DailyData[[#This Row],[Column1]]&gt;0,DailyData[[#This Row],[Column1]]-L1066,0)</f>
        <v>0</v>
      </c>
      <c r="N1079" s="1">
        <f>+IF(DailyData[[#This Row],[Column2]]=0,0,DailyData[[#This Row],[Date]])</f>
        <v>0</v>
      </c>
    </row>
    <row r="1080" spans="3:14" x14ac:dyDescent="0.25">
      <c r="C1080" s="1">
        <v>45952</v>
      </c>
      <c r="D1080" s="2" t="s">
        <v>19</v>
      </c>
      <c r="E1080">
        <v>6000</v>
      </c>
      <c r="F1080">
        <v>0.34499999999999997</v>
      </c>
      <c r="G1080">
        <v>0.34499999999999997</v>
      </c>
      <c r="H1080">
        <v>0.28000000000000003</v>
      </c>
      <c r="I1080">
        <v>0.28499999999999998</v>
      </c>
      <c r="J1080">
        <v>1078785</v>
      </c>
      <c r="K1080">
        <v>1710</v>
      </c>
      <c r="L1080">
        <f t="shared" si="17"/>
        <v>0</v>
      </c>
      <c r="M1080">
        <f>+IF(DailyData[[#This Row],[Column1]]&gt;0,DailyData[[#This Row],[Column1]]-L1067,0)</f>
        <v>0</v>
      </c>
      <c r="N1080" s="1">
        <f>+IF(DailyData[[#This Row],[Column2]]=0,0,DailyData[[#This Row],[Date]])</f>
        <v>0</v>
      </c>
    </row>
    <row r="1081" spans="3:14" x14ac:dyDescent="0.25">
      <c r="C1081" s="1">
        <v>45952</v>
      </c>
      <c r="D1081" s="2" t="s">
        <v>20</v>
      </c>
      <c r="E1081">
        <v>0</v>
      </c>
      <c r="F1081">
        <v>39.17</v>
      </c>
      <c r="G1081">
        <v>39.4</v>
      </c>
      <c r="H1081">
        <v>39.034999999999997</v>
      </c>
      <c r="I1081">
        <v>39.24</v>
      </c>
      <c r="J1081">
        <v>3503329</v>
      </c>
      <c r="K1081">
        <v>0</v>
      </c>
      <c r="L1081">
        <f t="shared" si="17"/>
        <v>0</v>
      </c>
      <c r="M1081">
        <f>+IF(DailyData[[#This Row],[Column1]]&gt;0,DailyData[[#This Row],[Column1]]-L1068,0)</f>
        <v>0</v>
      </c>
      <c r="N1081" s="1">
        <f>+IF(DailyData[[#This Row],[Column2]]=0,0,DailyData[[#This Row],[Date]])</f>
        <v>0</v>
      </c>
    </row>
    <row r="1082" spans="3:14" x14ac:dyDescent="0.25">
      <c r="C1082" s="1">
        <v>45952</v>
      </c>
      <c r="D1082" s="2" t="s">
        <v>21</v>
      </c>
      <c r="E1082">
        <v>1288</v>
      </c>
      <c r="F1082">
        <v>23.26</v>
      </c>
      <c r="G1082">
        <v>23.38</v>
      </c>
      <c r="H1082">
        <v>22.89</v>
      </c>
      <c r="I1082">
        <v>23.17</v>
      </c>
      <c r="J1082">
        <v>6338244</v>
      </c>
      <c r="K1082">
        <v>29842.959999999999</v>
      </c>
      <c r="L1082">
        <f t="shared" si="17"/>
        <v>1124475.96</v>
      </c>
      <c r="M1082">
        <f>+IF(DailyData[[#This Row],[Column1]]&gt;0,DailyData[[#This Row],[Column1]]-L1069,0)</f>
        <v>-28202.820000000065</v>
      </c>
      <c r="N1082" s="1">
        <f>+IF(DailyData[[#This Row],[Column2]]=0,0,DailyData[[#This Row],[Date]])</f>
        <v>45952</v>
      </c>
    </row>
    <row r="1083" spans="3:14" x14ac:dyDescent="0.25">
      <c r="C1083" s="1">
        <v>45953</v>
      </c>
      <c r="D1083" s="2" t="s">
        <v>9</v>
      </c>
      <c r="E1083">
        <v>153181</v>
      </c>
      <c r="F1083">
        <v>1.02</v>
      </c>
      <c r="G1083">
        <v>1.08</v>
      </c>
      <c r="H1083">
        <v>1.02</v>
      </c>
      <c r="I1083">
        <v>1.07</v>
      </c>
      <c r="J1083">
        <v>4972185</v>
      </c>
      <c r="K1083">
        <v>163903.67999999999</v>
      </c>
      <c r="L1083">
        <f t="shared" si="17"/>
        <v>0</v>
      </c>
      <c r="M1083">
        <f>+IF(DailyData[[#This Row],[Column1]]&gt;0,DailyData[[#This Row],[Column1]]-L1070,0)</f>
        <v>0</v>
      </c>
      <c r="N1083" s="1">
        <f>+IF(DailyData[[#This Row],[Column2]]=0,0,DailyData[[#This Row],[Date]])</f>
        <v>0</v>
      </c>
    </row>
    <row r="1084" spans="3:14" x14ac:dyDescent="0.25">
      <c r="C1084" s="1">
        <v>45953</v>
      </c>
      <c r="D1084" s="2" t="s">
        <v>10</v>
      </c>
      <c r="E1084">
        <v>70000</v>
      </c>
      <c r="F1084">
        <v>1.8149999999999999</v>
      </c>
      <c r="G1084">
        <v>1.827</v>
      </c>
      <c r="H1084">
        <v>1.7949999999999999</v>
      </c>
      <c r="I1084">
        <v>1.81</v>
      </c>
      <c r="J1084">
        <v>4016327</v>
      </c>
      <c r="K1084">
        <v>126700</v>
      </c>
      <c r="L1084">
        <f t="shared" si="17"/>
        <v>0</v>
      </c>
      <c r="M1084">
        <f>+IF(DailyData[[#This Row],[Column1]]&gt;0,DailyData[[#This Row],[Column1]]-L1071,0)</f>
        <v>0</v>
      </c>
      <c r="N1084" s="1">
        <f>+IF(DailyData[[#This Row],[Column2]]=0,0,DailyData[[#This Row],[Date]])</f>
        <v>0</v>
      </c>
    </row>
    <row r="1085" spans="3:14" x14ac:dyDescent="0.25">
      <c r="C1085" s="1">
        <v>45953</v>
      </c>
      <c r="D1085" s="2" t="s">
        <v>11</v>
      </c>
      <c r="E1085">
        <v>57458</v>
      </c>
      <c r="F1085">
        <v>1.2649999999999999</v>
      </c>
      <c r="G1085">
        <v>1.3</v>
      </c>
      <c r="H1085">
        <v>1.18</v>
      </c>
      <c r="I1085">
        <v>1.1850000000000001</v>
      </c>
      <c r="J1085">
        <v>5305559</v>
      </c>
      <c r="K1085">
        <v>68087.73</v>
      </c>
      <c r="L1085">
        <f t="shared" si="17"/>
        <v>0</v>
      </c>
      <c r="M1085">
        <f>+IF(DailyData[[#This Row],[Column1]]&gt;0,DailyData[[#This Row],[Column1]]-L1072,0)</f>
        <v>0</v>
      </c>
      <c r="N1085" s="1">
        <f>+IF(DailyData[[#This Row],[Column2]]=0,0,DailyData[[#This Row],[Date]])</f>
        <v>0</v>
      </c>
    </row>
    <row r="1086" spans="3:14" x14ac:dyDescent="0.25">
      <c r="C1086" s="1">
        <v>45953</v>
      </c>
      <c r="D1086" s="2" t="s">
        <v>12</v>
      </c>
      <c r="E1086">
        <v>16361</v>
      </c>
      <c r="F1086">
        <v>42.75</v>
      </c>
      <c r="G1086">
        <v>43.01</v>
      </c>
      <c r="H1086">
        <v>42.29</v>
      </c>
      <c r="I1086">
        <v>43.01</v>
      </c>
      <c r="J1086">
        <v>7054913</v>
      </c>
      <c r="K1086">
        <v>703686.58</v>
      </c>
      <c r="L1086">
        <f t="shared" si="17"/>
        <v>0</v>
      </c>
      <c r="M1086">
        <f>+IF(DailyData[[#This Row],[Column1]]&gt;0,DailyData[[#This Row],[Column1]]-L1073,0)</f>
        <v>0</v>
      </c>
      <c r="N1086" s="1">
        <f>+IF(DailyData[[#This Row],[Column2]]=0,0,DailyData[[#This Row],[Date]])</f>
        <v>0</v>
      </c>
    </row>
    <row r="1087" spans="3:14" x14ac:dyDescent="0.25">
      <c r="C1087" s="1">
        <v>45953</v>
      </c>
      <c r="D1087" s="2" t="s">
        <v>13</v>
      </c>
      <c r="E1087">
        <v>44090</v>
      </c>
      <c r="F1087">
        <v>1.4E-2</v>
      </c>
      <c r="G1087">
        <v>1.4E-2</v>
      </c>
      <c r="H1087">
        <v>1.4E-2</v>
      </c>
      <c r="I1087">
        <v>1.4E-2</v>
      </c>
      <c r="J1087">
        <v>0</v>
      </c>
      <c r="K1087">
        <v>617.26</v>
      </c>
      <c r="L1087">
        <f t="shared" si="17"/>
        <v>0</v>
      </c>
      <c r="M1087">
        <f>+IF(DailyData[[#This Row],[Column1]]&gt;0,DailyData[[#This Row],[Column1]]-L1074,0)</f>
        <v>0</v>
      </c>
      <c r="N1087" s="1">
        <f>+IF(DailyData[[#This Row],[Column2]]=0,0,DailyData[[#This Row],[Date]])</f>
        <v>0</v>
      </c>
    </row>
    <row r="1088" spans="3:14" x14ac:dyDescent="0.25">
      <c r="C1088" s="1">
        <v>45953</v>
      </c>
      <c r="D1088" s="2" t="s">
        <v>14</v>
      </c>
      <c r="E1088">
        <v>0</v>
      </c>
      <c r="F1088">
        <v>172.8</v>
      </c>
      <c r="G1088">
        <v>173.35</v>
      </c>
      <c r="H1088">
        <v>170.22</v>
      </c>
      <c r="I1088">
        <v>171.66</v>
      </c>
      <c r="J1088">
        <v>1428388</v>
      </c>
      <c r="K1088">
        <v>0</v>
      </c>
      <c r="L1088">
        <f t="shared" si="17"/>
        <v>0</v>
      </c>
      <c r="M1088">
        <f>+IF(DailyData[[#This Row],[Column1]]&gt;0,DailyData[[#This Row],[Column1]]-L1075,0)</f>
        <v>0</v>
      </c>
      <c r="N1088" s="1">
        <f>+IF(DailyData[[#This Row],[Column2]]=0,0,DailyData[[#This Row],[Date]])</f>
        <v>0</v>
      </c>
    </row>
    <row r="1089" spans="3:14" x14ac:dyDescent="0.25">
      <c r="C1089" s="1">
        <v>45953</v>
      </c>
      <c r="D1089" s="2" t="s">
        <v>15</v>
      </c>
      <c r="E1089">
        <v>10000</v>
      </c>
      <c r="F1089">
        <v>0.435</v>
      </c>
      <c r="G1089">
        <v>0.44</v>
      </c>
      <c r="H1089">
        <v>0.42</v>
      </c>
      <c r="I1089">
        <v>0.42499999999999999</v>
      </c>
      <c r="J1089">
        <v>236476</v>
      </c>
      <c r="K1089">
        <v>4250</v>
      </c>
      <c r="L1089">
        <f t="shared" si="17"/>
        <v>0</v>
      </c>
      <c r="M1089">
        <f>+IF(DailyData[[#This Row],[Column1]]&gt;0,DailyData[[#This Row],[Column1]]-L1076,0)</f>
        <v>0</v>
      </c>
      <c r="N1089" s="1">
        <f>+IF(DailyData[[#This Row],[Column2]]=0,0,DailyData[[#This Row],[Date]])</f>
        <v>0</v>
      </c>
    </row>
    <row r="1090" spans="3:14" x14ac:dyDescent="0.25">
      <c r="C1090" s="1">
        <v>45953</v>
      </c>
      <c r="D1090" s="2" t="s">
        <v>16</v>
      </c>
      <c r="E1090">
        <v>20000</v>
      </c>
      <c r="F1090">
        <v>0.36499999999999999</v>
      </c>
      <c r="G1090">
        <v>0.4</v>
      </c>
      <c r="H1090">
        <v>0.35499999999999998</v>
      </c>
      <c r="I1090">
        <v>0.35499999999999998</v>
      </c>
      <c r="J1090">
        <v>427800</v>
      </c>
      <c r="K1090">
        <v>7100</v>
      </c>
      <c r="L1090">
        <f t="shared" si="17"/>
        <v>0</v>
      </c>
      <c r="M1090">
        <f>+IF(DailyData[[#This Row],[Column1]]&gt;0,DailyData[[#This Row],[Column1]]-L1077,0)</f>
        <v>0</v>
      </c>
      <c r="N1090" s="1">
        <f>+IF(DailyData[[#This Row],[Column2]]=0,0,DailyData[[#This Row],[Date]])</f>
        <v>0</v>
      </c>
    </row>
    <row r="1091" spans="3:14" x14ac:dyDescent="0.25">
      <c r="C1091" s="1">
        <v>45953</v>
      </c>
      <c r="D1091" s="2" t="s">
        <v>17</v>
      </c>
      <c r="E1091">
        <v>700000</v>
      </c>
      <c r="F1091">
        <v>3.0000000000000001E-3</v>
      </c>
      <c r="G1091">
        <v>3.0000000000000001E-3</v>
      </c>
      <c r="H1091">
        <v>2E-3</v>
      </c>
      <c r="I1091">
        <v>2E-3</v>
      </c>
      <c r="J1091">
        <v>262381</v>
      </c>
      <c r="K1091">
        <v>1750</v>
      </c>
      <c r="L1091">
        <f t="shared" si="17"/>
        <v>0</v>
      </c>
      <c r="M1091">
        <f>+IF(DailyData[[#This Row],[Column1]]&gt;0,DailyData[[#This Row],[Column1]]-L1078,0)</f>
        <v>0</v>
      </c>
      <c r="N1091" s="1">
        <f>+IF(DailyData[[#This Row],[Column2]]=0,0,DailyData[[#This Row],[Date]])</f>
        <v>0</v>
      </c>
    </row>
    <row r="1092" spans="3:14" x14ac:dyDescent="0.25">
      <c r="C1092" s="1">
        <v>45953</v>
      </c>
      <c r="D1092" s="2" t="s">
        <v>18</v>
      </c>
      <c r="E1092">
        <v>9412</v>
      </c>
      <c r="F1092">
        <v>0.29499999999999998</v>
      </c>
      <c r="G1092">
        <v>0.30499999999999999</v>
      </c>
      <c r="H1092">
        <v>0.28499999999999998</v>
      </c>
      <c r="I1092">
        <v>0.29499999999999998</v>
      </c>
      <c r="J1092">
        <v>139478</v>
      </c>
      <c r="K1092">
        <v>2776.54</v>
      </c>
      <c r="L1092">
        <f t="shared" si="17"/>
        <v>0</v>
      </c>
      <c r="M1092">
        <f>+IF(DailyData[[#This Row],[Column1]]&gt;0,DailyData[[#This Row],[Column1]]-L1079,0)</f>
        <v>0</v>
      </c>
      <c r="N1092" s="1">
        <f>+IF(DailyData[[#This Row],[Column2]]=0,0,DailyData[[#This Row],[Date]])</f>
        <v>0</v>
      </c>
    </row>
    <row r="1093" spans="3:14" x14ac:dyDescent="0.25">
      <c r="C1093" s="1">
        <v>45953</v>
      </c>
      <c r="D1093" s="2" t="s">
        <v>19</v>
      </c>
      <c r="E1093">
        <v>6000</v>
      </c>
      <c r="F1093">
        <v>0.28499999999999998</v>
      </c>
      <c r="G1093">
        <v>0.28999999999999998</v>
      </c>
      <c r="H1093">
        <v>0.255</v>
      </c>
      <c r="I1093">
        <v>0.26500000000000001</v>
      </c>
      <c r="J1093">
        <v>629642</v>
      </c>
      <c r="K1093">
        <v>1590</v>
      </c>
      <c r="L1093">
        <f t="shared" si="17"/>
        <v>0</v>
      </c>
      <c r="M1093">
        <f>+IF(DailyData[[#This Row],[Column1]]&gt;0,DailyData[[#This Row],[Column1]]-L1080,0)</f>
        <v>0</v>
      </c>
      <c r="N1093" s="1">
        <f>+IF(DailyData[[#This Row],[Column2]]=0,0,DailyData[[#This Row],[Date]])</f>
        <v>0</v>
      </c>
    </row>
    <row r="1094" spans="3:14" x14ac:dyDescent="0.25">
      <c r="C1094" s="1">
        <v>45953</v>
      </c>
      <c r="D1094" s="2" t="s">
        <v>20</v>
      </c>
      <c r="E1094">
        <v>0</v>
      </c>
      <c r="F1094">
        <v>39.15</v>
      </c>
      <c r="G1094">
        <v>39.200000000000003</v>
      </c>
      <c r="H1094">
        <v>38.880000000000003</v>
      </c>
      <c r="I1094">
        <v>38.880000000000003</v>
      </c>
      <c r="J1094">
        <v>2388322</v>
      </c>
      <c r="K1094">
        <v>0</v>
      </c>
      <c r="L1094">
        <f t="shared" si="17"/>
        <v>0</v>
      </c>
      <c r="M1094">
        <f>+IF(DailyData[[#This Row],[Column1]]&gt;0,DailyData[[#This Row],[Column1]]-L1081,0)</f>
        <v>0</v>
      </c>
      <c r="N1094" s="1">
        <f>+IF(DailyData[[#This Row],[Column2]]=0,0,DailyData[[#This Row],[Date]])</f>
        <v>0</v>
      </c>
    </row>
    <row r="1095" spans="3:14" x14ac:dyDescent="0.25">
      <c r="C1095" s="1">
        <v>45953</v>
      </c>
      <c r="D1095" s="2" t="s">
        <v>21</v>
      </c>
      <c r="E1095">
        <v>1288</v>
      </c>
      <c r="F1095">
        <v>23.75</v>
      </c>
      <c r="G1095">
        <v>24.29</v>
      </c>
      <c r="H1095">
        <v>23.7</v>
      </c>
      <c r="I1095">
        <v>24.17</v>
      </c>
      <c r="J1095">
        <v>6992666</v>
      </c>
      <c r="K1095">
        <v>31130.959999999999</v>
      </c>
      <c r="L1095">
        <f t="shared" si="17"/>
        <v>1111592.75</v>
      </c>
      <c r="M1095">
        <f>+IF(DailyData[[#This Row],[Column1]]&gt;0,DailyData[[#This Row],[Column1]]-L1082,0)</f>
        <v>-12883.209999999963</v>
      </c>
      <c r="N1095" s="1">
        <f>+IF(DailyData[[#This Row],[Column2]]=0,0,DailyData[[#This Row],[Date]])</f>
        <v>45953</v>
      </c>
    </row>
    <row r="1096" spans="3:14" x14ac:dyDescent="0.25">
      <c r="C1096" s="1">
        <v>45954</v>
      </c>
      <c r="D1096" s="2" t="s">
        <v>9</v>
      </c>
      <c r="E1096">
        <v>153181</v>
      </c>
      <c r="F1096">
        <v>1.07</v>
      </c>
      <c r="G1096">
        <v>1.0720000000000001</v>
      </c>
      <c r="H1096">
        <v>1.04</v>
      </c>
      <c r="I1096">
        <v>1.0449999999999999</v>
      </c>
      <c r="J1096">
        <v>2808160</v>
      </c>
      <c r="K1096">
        <v>160074.14000000001</v>
      </c>
      <c r="L1096">
        <f t="shared" si="17"/>
        <v>0</v>
      </c>
      <c r="M1096">
        <f>+IF(DailyData[[#This Row],[Column1]]&gt;0,DailyData[[#This Row],[Column1]]-L1083,0)</f>
        <v>0</v>
      </c>
      <c r="N1096" s="1">
        <f>+IF(DailyData[[#This Row],[Column2]]=0,0,DailyData[[#This Row],[Date]])</f>
        <v>0</v>
      </c>
    </row>
    <row r="1097" spans="3:14" x14ac:dyDescent="0.25">
      <c r="C1097" s="1">
        <v>45954</v>
      </c>
      <c r="D1097" s="2" t="s">
        <v>10</v>
      </c>
      <c r="E1097">
        <v>70000</v>
      </c>
      <c r="F1097">
        <v>1.8</v>
      </c>
      <c r="G1097">
        <v>1.8029999999999999</v>
      </c>
      <c r="H1097">
        <v>1.768</v>
      </c>
      <c r="I1097">
        <v>1.79</v>
      </c>
      <c r="J1097">
        <v>5786887</v>
      </c>
      <c r="K1097">
        <v>125300</v>
      </c>
      <c r="L1097">
        <f t="shared" si="17"/>
        <v>0</v>
      </c>
      <c r="M1097">
        <f>+IF(DailyData[[#This Row],[Column1]]&gt;0,DailyData[[#This Row],[Column1]]-L1084,0)</f>
        <v>0</v>
      </c>
      <c r="N1097" s="1">
        <f>+IF(DailyData[[#This Row],[Column2]]=0,0,DailyData[[#This Row],[Date]])</f>
        <v>0</v>
      </c>
    </row>
    <row r="1098" spans="3:14" x14ac:dyDescent="0.25">
      <c r="C1098" s="1">
        <v>45954</v>
      </c>
      <c r="D1098" s="2" t="s">
        <v>11</v>
      </c>
      <c r="E1098">
        <v>57458</v>
      </c>
      <c r="F1098">
        <v>1.1499999999999999</v>
      </c>
      <c r="G1098">
        <v>1.1599999999999999</v>
      </c>
      <c r="H1098">
        <v>1.0349999999999999</v>
      </c>
      <c r="I1098">
        <v>1.05</v>
      </c>
      <c r="J1098">
        <v>4194923</v>
      </c>
      <c r="K1098">
        <v>60330.9</v>
      </c>
      <c r="L1098">
        <f t="shared" si="17"/>
        <v>0</v>
      </c>
      <c r="M1098">
        <f>+IF(DailyData[[#This Row],[Column1]]&gt;0,DailyData[[#This Row],[Column1]]-L1085,0)</f>
        <v>0</v>
      </c>
      <c r="N1098" s="1">
        <f>+IF(DailyData[[#This Row],[Column2]]=0,0,DailyData[[#This Row],[Date]])</f>
        <v>0</v>
      </c>
    </row>
    <row r="1099" spans="3:14" x14ac:dyDescent="0.25">
      <c r="C1099" s="1">
        <v>45954</v>
      </c>
      <c r="D1099" s="2" t="s">
        <v>12</v>
      </c>
      <c r="E1099">
        <v>16361</v>
      </c>
      <c r="F1099">
        <v>42.75</v>
      </c>
      <c r="G1099">
        <v>43.24</v>
      </c>
      <c r="H1099">
        <v>42.67</v>
      </c>
      <c r="I1099">
        <v>43.24</v>
      </c>
      <c r="J1099">
        <v>7404860</v>
      </c>
      <c r="K1099">
        <v>707449.67</v>
      </c>
      <c r="L1099">
        <f t="shared" si="17"/>
        <v>0</v>
      </c>
      <c r="M1099">
        <f>+IF(DailyData[[#This Row],[Column1]]&gt;0,DailyData[[#This Row],[Column1]]-L1086,0)</f>
        <v>0</v>
      </c>
      <c r="N1099" s="1">
        <f>+IF(DailyData[[#This Row],[Column2]]=0,0,DailyData[[#This Row],[Date]])</f>
        <v>0</v>
      </c>
    </row>
    <row r="1100" spans="3:14" x14ac:dyDescent="0.25">
      <c r="C1100" s="1">
        <v>45954</v>
      </c>
      <c r="D1100" s="2" t="s">
        <v>13</v>
      </c>
      <c r="E1100">
        <v>44090</v>
      </c>
      <c r="F1100">
        <v>1.4E-2</v>
      </c>
      <c r="G1100">
        <v>1.4E-2</v>
      </c>
      <c r="H1100">
        <v>1.4E-2</v>
      </c>
      <c r="I1100">
        <v>1.4E-2</v>
      </c>
      <c r="J1100">
        <v>0</v>
      </c>
      <c r="K1100">
        <v>617.26</v>
      </c>
      <c r="L1100">
        <f t="shared" si="17"/>
        <v>0</v>
      </c>
      <c r="M1100">
        <f>+IF(DailyData[[#This Row],[Column1]]&gt;0,DailyData[[#This Row],[Column1]]-L1087,0)</f>
        <v>0</v>
      </c>
      <c r="N1100" s="1">
        <f>+IF(DailyData[[#This Row],[Column2]]=0,0,DailyData[[#This Row],[Date]])</f>
        <v>0</v>
      </c>
    </row>
    <row r="1101" spans="3:14" x14ac:dyDescent="0.25">
      <c r="C1101" s="1">
        <v>45954</v>
      </c>
      <c r="D1101" s="2" t="s">
        <v>14</v>
      </c>
      <c r="E1101">
        <v>0</v>
      </c>
      <c r="F1101">
        <v>171.78</v>
      </c>
      <c r="G1101">
        <v>172.4</v>
      </c>
      <c r="H1101">
        <v>170.02</v>
      </c>
      <c r="I1101">
        <v>170.37</v>
      </c>
      <c r="J1101">
        <v>1358579</v>
      </c>
      <c r="K1101">
        <v>0</v>
      </c>
      <c r="L1101">
        <f t="shared" si="17"/>
        <v>0</v>
      </c>
      <c r="M1101">
        <f>+IF(DailyData[[#This Row],[Column1]]&gt;0,DailyData[[#This Row],[Column1]]-L1088,0)</f>
        <v>0</v>
      </c>
      <c r="N1101" s="1">
        <f>+IF(DailyData[[#This Row],[Column2]]=0,0,DailyData[[#This Row],[Date]])</f>
        <v>0</v>
      </c>
    </row>
    <row r="1102" spans="3:14" x14ac:dyDescent="0.25">
      <c r="C1102" s="1">
        <v>45954</v>
      </c>
      <c r="D1102" s="2" t="s">
        <v>15</v>
      </c>
      <c r="E1102">
        <v>10000</v>
      </c>
      <c r="F1102">
        <v>0.44</v>
      </c>
      <c r="G1102">
        <v>0.45</v>
      </c>
      <c r="H1102">
        <v>0.42499999999999999</v>
      </c>
      <c r="I1102">
        <v>0.42499999999999999</v>
      </c>
      <c r="J1102">
        <v>259858</v>
      </c>
      <c r="K1102">
        <v>4250</v>
      </c>
      <c r="L1102">
        <f t="shared" si="17"/>
        <v>0</v>
      </c>
      <c r="M1102">
        <f>+IF(DailyData[[#This Row],[Column1]]&gt;0,DailyData[[#This Row],[Column1]]-L1089,0)</f>
        <v>0</v>
      </c>
      <c r="N1102" s="1">
        <f>+IF(DailyData[[#This Row],[Column2]]=0,0,DailyData[[#This Row],[Date]])</f>
        <v>0</v>
      </c>
    </row>
    <row r="1103" spans="3:14" x14ac:dyDescent="0.25">
      <c r="C1103" s="1">
        <v>45954</v>
      </c>
      <c r="D1103" s="2" t="s">
        <v>16</v>
      </c>
      <c r="E1103">
        <v>20000</v>
      </c>
      <c r="F1103">
        <v>0.375</v>
      </c>
      <c r="G1103">
        <v>0.39</v>
      </c>
      <c r="H1103">
        <v>0.34</v>
      </c>
      <c r="I1103">
        <v>0.39</v>
      </c>
      <c r="J1103">
        <v>4237098</v>
      </c>
      <c r="K1103">
        <v>7800</v>
      </c>
      <c r="L1103">
        <f t="shared" si="17"/>
        <v>0</v>
      </c>
      <c r="M1103">
        <f>+IF(DailyData[[#This Row],[Column1]]&gt;0,DailyData[[#This Row],[Column1]]-L1090,0)</f>
        <v>0</v>
      </c>
      <c r="N1103" s="1">
        <f>+IF(DailyData[[#This Row],[Column2]]=0,0,DailyData[[#This Row],[Date]])</f>
        <v>0</v>
      </c>
    </row>
    <row r="1104" spans="3:14" x14ac:dyDescent="0.25">
      <c r="C1104" s="1">
        <v>45954</v>
      </c>
      <c r="D1104" s="2" t="s">
        <v>17</v>
      </c>
      <c r="E1104">
        <v>700000</v>
      </c>
      <c r="F1104">
        <v>2E-3</v>
      </c>
      <c r="G1104">
        <v>2E-3</v>
      </c>
      <c r="H1104">
        <v>2E-3</v>
      </c>
      <c r="I1104">
        <v>2E-3</v>
      </c>
      <c r="J1104">
        <v>1066620</v>
      </c>
      <c r="K1104">
        <v>1750</v>
      </c>
      <c r="L1104">
        <f t="shared" si="17"/>
        <v>0</v>
      </c>
      <c r="M1104">
        <f>+IF(DailyData[[#This Row],[Column1]]&gt;0,DailyData[[#This Row],[Column1]]-L1091,0)</f>
        <v>0</v>
      </c>
      <c r="N1104" s="1">
        <f>+IF(DailyData[[#This Row],[Column2]]=0,0,DailyData[[#This Row],[Date]])</f>
        <v>0</v>
      </c>
    </row>
    <row r="1105" spans="3:14" x14ac:dyDescent="0.25">
      <c r="C1105" s="1">
        <v>45954</v>
      </c>
      <c r="D1105" s="2" t="s">
        <v>18</v>
      </c>
      <c r="E1105">
        <v>9412</v>
      </c>
      <c r="F1105">
        <v>0.29499999999999998</v>
      </c>
      <c r="G1105">
        <v>0.29499999999999998</v>
      </c>
      <c r="H1105">
        <v>0.28499999999999998</v>
      </c>
      <c r="I1105">
        <v>0.28499999999999998</v>
      </c>
      <c r="J1105">
        <v>63575</v>
      </c>
      <c r="K1105">
        <v>2682.42</v>
      </c>
      <c r="L1105">
        <f t="shared" ref="L1105:L1168" si="18">+IF(C1106&lt;&gt;C1105,SUM(K1093:K1105),0)</f>
        <v>0</v>
      </c>
      <c r="M1105">
        <f>+IF(DailyData[[#This Row],[Column1]]&gt;0,DailyData[[#This Row],[Column1]]-L1092,0)</f>
        <v>0</v>
      </c>
      <c r="N1105" s="1">
        <f>+IF(DailyData[[#This Row],[Column2]]=0,0,DailyData[[#This Row],[Date]])</f>
        <v>0</v>
      </c>
    </row>
    <row r="1106" spans="3:14" x14ac:dyDescent="0.25">
      <c r="C1106" s="1">
        <v>45954</v>
      </c>
      <c r="D1106" s="2" t="s">
        <v>19</v>
      </c>
      <c r="E1106">
        <v>6000</v>
      </c>
      <c r="F1106">
        <v>0.26</v>
      </c>
      <c r="G1106">
        <v>0.27500000000000002</v>
      </c>
      <c r="H1106">
        <v>0.23499999999999999</v>
      </c>
      <c r="I1106">
        <v>0.24</v>
      </c>
      <c r="J1106">
        <v>722047</v>
      </c>
      <c r="K1106">
        <v>1440</v>
      </c>
      <c r="L1106">
        <f t="shared" si="18"/>
        <v>0</v>
      </c>
      <c r="M1106">
        <f>+IF(DailyData[[#This Row],[Column1]]&gt;0,DailyData[[#This Row],[Column1]]-L1093,0)</f>
        <v>0</v>
      </c>
      <c r="N1106" s="1">
        <f>+IF(DailyData[[#This Row],[Column2]]=0,0,DailyData[[#This Row],[Date]])</f>
        <v>0</v>
      </c>
    </row>
    <row r="1107" spans="3:14" x14ac:dyDescent="0.25">
      <c r="C1107" s="1">
        <v>45954</v>
      </c>
      <c r="D1107" s="2" t="s">
        <v>20</v>
      </c>
      <c r="E1107">
        <v>0</v>
      </c>
      <c r="F1107">
        <v>39.1</v>
      </c>
      <c r="G1107">
        <v>39.270000000000003</v>
      </c>
      <c r="H1107">
        <v>38.784999999999997</v>
      </c>
      <c r="I1107">
        <v>38.869999999999997</v>
      </c>
      <c r="J1107">
        <v>2720263</v>
      </c>
      <c r="K1107">
        <v>0</v>
      </c>
      <c r="L1107">
        <f t="shared" si="18"/>
        <v>0</v>
      </c>
      <c r="M1107">
        <f>+IF(DailyData[[#This Row],[Column1]]&gt;0,DailyData[[#This Row],[Column1]]-L1094,0)</f>
        <v>0</v>
      </c>
      <c r="N1107" s="1">
        <f>+IF(DailyData[[#This Row],[Column2]]=0,0,DailyData[[#This Row],[Date]])</f>
        <v>0</v>
      </c>
    </row>
    <row r="1108" spans="3:14" x14ac:dyDescent="0.25">
      <c r="C1108" s="1">
        <v>45954</v>
      </c>
      <c r="D1108" s="2" t="s">
        <v>21</v>
      </c>
      <c r="E1108">
        <v>1288</v>
      </c>
      <c r="F1108">
        <v>24.42</v>
      </c>
      <c r="G1108">
        <v>24.64</v>
      </c>
      <c r="H1108">
        <v>24.21</v>
      </c>
      <c r="I1108">
        <v>24.4</v>
      </c>
      <c r="J1108">
        <v>5044669</v>
      </c>
      <c r="K1108">
        <v>31427.200000000001</v>
      </c>
      <c r="L1108">
        <f t="shared" si="18"/>
        <v>1103121.5899999999</v>
      </c>
      <c r="M1108">
        <f>+IF(DailyData[[#This Row],[Column1]]&gt;0,DailyData[[#This Row],[Column1]]-L1095,0)</f>
        <v>-8471.160000000149</v>
      </c>
      <c r="N1108" s="1">
        <f>+IF(DailyData[[#This Row],[Column2]]=0,0,DailyData[[#This Row],[Date]])</f>
        <v>45954</v>
      </c>
    </row>
    <row r="1109" spans="3:14" x14ac:dyDescent="0.25">
      <c r="C1109" s="1">
        <v>45957</v>
      </c>
      <c r="D1109" s="2" t="s">
        <v>9</v>
      </c>
      <c r="E1109">
        <v>153181</v>
      </c>
      <c r="F1109">
        <v>1.0349999999999999</v>
      </c>
      <c r="G1109">
        <v>1.0549999999999999</v>
      </c>
      <c r="H1109">
        <v>1.0129999999999999</v>
      </c>
      <c r="I1109">
        <v>1.03</v>
      </c>
      <c r="J1109">
        <v>2878776</v>
      </c>
      <c r="K1109">
        <v>157776.43</v>
      </c>
      <c r="L1109">
        <f t="shared" si="18"/>
        <v>0</v>
      </c>
      <c r="M1109">
        <f>+IF(DailyData[[#This Row],[Column1]]&gt;0,DailyData[[#This Row],[Column1]]-L1096,0)</f>
        <v>0</v>
      </c>
      <c r="N1109" s="1">
        <f>+IF(DailyData[[#This Row],[Column2]]=0,0,DailyData[[#This Row],[Date]])</f>
        <v>0</v>
      </c>
    </row>
    <row r="1110" spans="3:14" x14ac:dyDescent="0.25">
      <c r="C1110" s="1">
        <v>45957</v>
      </c>
      <c r="D1110" s="2" t="s">
        <v>10</v>
      </c>
      <c r="E1110">
        <v>70000</v>
      </c>
      <c r="F1110">
        <v>1.8</v>
      </c>
      <c r="G1110">
        <v>1.8149999999999999</v>
      </c>
      <c r="H1110">
        <v>1.79</v>
      </c>
      <c r="I1110">
        <v>1.79</v>
      </c>
      <c r="J1110">
        <v>3355981</v>
      </c>
      <c r="K1110">
        <v>125300</v>
      </c>
      <c r="L1110">
        <f t="shared" si="18"/>
        <v>0</v>
      </c>
      <c r="M1110">
        <f>+IF(DailyData[[#This Row],[Column1]]&gt;0,DailyData[[#This Row],[Column1]]-L1097,0)</f>
        <v>0</v>
      </c>
      <c r="N1110" s="1">
        <f>+IF(DailyData[[#This Row],[Column2]]=0,0,DailyData[[#This Row],[Date]])</f>
        <v>0</v>
      </c>
    </row>
    <row r="1111" spans="3:14" x14ac:dyDescent="0.25">
      <c r="C1111" s="1">
        <v>45957</v>
      </c>
      <c r="D1111" s="2" t="s">
        <v>11</v>
      </c>
      <c r="E1111">
        <v>57458</v>
      </c>
      <c r="F1111">
        <v>1.05</v>
      </c>
      <c r="G1111">
        <v>1.0529999999999999</v>
      </c>
      <c r="H1111">
        <v>0.88500000000000001</v>
      </c>
      <c r="I1111">
        <v>0.93500000000000005</v>
      </c>
      <c r="J1111">
        <v>8952176</v>
      </c>
      <c r="K1111">
        <v>53723.23</v>
      </c>
      <c r="L1111">
        <f t="shared" si="18"/>
        <v>0</v>
      </c>
      <c r="M1111">
        <f>+IF(DailyData[[#This Row],[Column1]]&gt;0,DailyData[[#This Row],[Column1]]-L1098,0)</f>
        <v>0</v>
      </c>
      <c r="N1111" s="1">
        <f>+IF(DailyData[[#This Row],[Column2]]=0,0,DailyData[[#This Row],[Date]])</f>
        <v>0</v>
      </c>
    </row>
    <row r="1112" spans="3:14" x14ac:dyDescent="0.25">
      <c r="C1112" s="1">
        <v>45957</v>
      </c>
      <c r="D1112" s="2" t="s">
        <v>12</v>
      </c>
      <c r="E1112">
        <v>16361</v>
      </c>
      <c r="F1112">
        <v>43.05</v>
      </c>
      <c r="G1112">
        <v>43.63</v>
      </c>
      <c r="H1112">
        <v>42.95</v>
      </c>
      <c r="I1112">
        <v>43.54</v>
      </c>
      <c r="J1112">
        <v>6414129</v>
      </c>
      <c r="K1112">
        <v>712357.95</v>
      </c>
      <c r="L1112">
        <f t="shared" si="18"/>
        <v>0</v>
      </c>
      <c r="M1112">
        <f>+IF(DailyData[[#This Row],[Column1]]&gt;0,DailyData[[#This Row],[Column1]]-L1099,0)</f>
        <v>0</v>
      </c>
      <c r="N1112" s="1">
        <f>+IF(DailyData[[#This Row],[Column2]]=0,0,DailyData[[#This Row],[Date]])</f>
        <v>0</v>
      </c>
    </row>
    <row r="1113" spans="3:14" x14ac:dyDescent="0.25">
      <c r="C1113" s="1">
        <v>45957</v>
      </c>
      <c r="D1113" s="2" t="s">
        <v>13</v>
      </c>
      <c r="E1113">
        <v>44090</v>
      </c>
      <c r="F1113">
        <v>1.4E-2</v>
      </c>
      <c r="G1113">
        <v>1.4E-2</v>
      </c>
      <c r="H1113">
        <v>1.2999999999999999E-2</v>
      </c>
      <c r="I1113">
        <v>1.2999999999999999E-2</v>
      </c>
      <c r="J1113">
        <v>15939450</v>
      </c>
      <c r="K1113">
        <v>573.16999999999996</v>
      </c>
      <c r="L1113">
        <f t="shared" si="18"/>
        <v>0</v>
      </c>
      <c r="M1113">
        <f>+IF(DailyData[[#This Row],[Column1]]&gt;0,DailyData[[#This Row],[Column1]]-L1100,0)</f>
        <v>0</v>
      </c>
      <c r="N1113" s="1">
        <f>+IF(DailyData[[#This Row],[Column2]]=0,0,DailyData[[#This Row],[Date]])</f>
        <v>0</v>
      </c>
    </row>
    <row r="1114" spans="3:14" x14ac:dyDescent="0.25">
      <c r="C1114" s="1">
        <v>45957</v>
      </c>
      <c r="D1114" s="2" t="s">
        <v>14</v>
      </c>
      <c r="E1114">
        <v>0</v>
      </c>
      <c r="F1114">
        <v>171.34</v>
      </c>
      <c r="G1114">
        <v>172.8</v>
      </c>
      <c r="H1114">
        <v>170.87</v>
      </c>
      <c r="I1114">
        <v>171.67</v>
      </c>
      <c r="J1114">
        <v>1080850</v>
      </c>
      <c r="K1114">
        <v>0</v>
      </c>
      <c r="L1114">
        <f t="shared" si="18"/>
        <v>0</v>
      </c>
      <c r="M1114">
        <f>+IF(DailyData[[#This Row],[Column1]]&gt;0,DailyData[[#This Row],[Column1]]-L1101,0)</f>
        <v>0</v>
      </c>
      <c r="N1114" s="1">
        <f>+IF(DailyData[[#This Row],[Column2]]=0,0,DailyData[[#This Row],[Date]])</f>
        <v>0</v>
      </c>
    </row>
    <row r="1115" spans="3:14" x14ac:dyDescent="0.25">
      <c r="C1115" s="1">
        <v>45957</v>
      </c>
      <c r="D1115" s="2" t="s">
        <v>15</v>
      </c>
      <c r="E1115">
        <v>10000</v>
      </c>
      <c r="F1115">
        <v>0.44</v>
      </c>
      <c r="G1115">
        <v>0.44500000000000001</v>
      </c>
      <c r="H1115">
        <v>0.42</v>
      </c>
      <c r="I1115">
        <v>0.42499999999999999</v>
      </c>
      <c r="J1115">
        <v>223404</v>
      </c>
      <c r="K1115">
        <v>4250</v>
      </c>
      <c r="L1115">
        <f t="shared" si="18"/>
        <v>0</v>
      </c>
      <c r="M1115">
        <f>+IF(DailyData[[#This Row],[Column1]]&gt;0,DailyData[[#This Row],[Column1]]-L1102,0)</f>
        <v>0</v>
      </c>
      <c r="N1115" s="1">
        <f>+IF(DailyData[[#This Row],[Column2]]=0,0,DailyData[[#This Row],[Date]])</f>
        <v>0</v>
      </c>
    </row>
    <row r="1116" spans="3:14" x14ac:dyDescent="0.25">
      <c r="C1116" s="1">
        <v>45957</v>
      </c>
      <c r="D1116" s="2" t="s">
        <v>16</v>
      </c>
      <c r="E1116">
        <v>20000</v>
      </c>
      <c r="F1116">
        <v>0.39</v>
      </c>
      <c r="G1116">
        <v>0.39</v>
      </c>
      <c r="H1116">
        <v>0.35499999999999998</v>
      </c>
      <c r="I1116">
        <v>0.36</v>
      </c>
      <c r="J1116">
        <v>592799</v>
      </c>
      <c r="K1116">
        <v>7200</v>
      </c>
      <c r="L1116">
        <f t="shared" si="18"/>
        <v>0</v>
      </c>
      <c r="M1116">
        <f>+IF(DailyData[[#This Row],[Column1]]&gt;0,DailyData[[#This Row],[Column1]]-L1103,0)</f>
        <v>0</v>
      </c>
      <c r="N1116" s="1">
        <f>+IF(DailyData[[#This Row],[Column2]]=0,0,DailyData[[#This Row],[Date]])</f>
        <v>0</v>
      </c>
    </row>
    <row r="1117" spans="3:14" x14ac:dyDescent="0.25">
      <c r="C1117" s="1">
        <v>45957</v>
      </c>
      <c r="D1117" s="2" t="s">
        <v>17</v>
      </c>
      <c r="E1117">
        <v>700000</v>
      </c>
      <c r="F1117">
        <v>2E-3</v>
      </c>
      <c r="G1117">
        <v>2E-3</v>
      </c>
      <c r="H1117">
        <v>2E-3</v>
      </c>
      <c r="I1117">
        <v>2E-3</v>
      </c>
      <c r="J1117">
        <v>86367</v>
      </c>
      <c r="K1117">
        <v>1400</v>
      </c>
      <c r="L1117">
        <f t="shared" si="18"/>
        <v>0</v>
      </c>
      <c r="M1117">
        <f>+IF(DailyData[[#This Row],[Column1]]&gt;0,DailyData[[#This Row],[Column1]]-L1104,0)</f>
        <v>0</v>
      </c>
      <c r="N1117" s="1">
        <f>+IF(DailyData[[#This Row],[Column2]]=0,0,DailyData[[#This Row],[Date]])</f>
        <v>0</v>
      </c>
    </row>
    <row r="1118" spans="3:14" x14ac:dyDescent="0.25">
      <c r="C1118" s="1">
        <v>45957</v>
      </c>
      <c r="D1118" s="2" t="s">
        <v>18</v>
      </c>
      <c r="E1118">
        <v>9412</v>
      </c>
      <c r="F1118">
        <v>0.28999999999999998</v>
      </c>
      <c r="G1118">
        <v>0.28999999999999998</v>
      </c>
      <c r="H1118">
        <v>0.28000000000000003</v>
      </c>
      <c r="I1118">
        <v>0.28499999999999998</v>
      </c>
      <c r="J1118">
        <v>163611</v>
      </c>
      <c r="K1118">
        <v>2682.42</v>
      </c>
      <c r="L1118">
        <f t="shared" si="18"/>
        <v>0</v>
      </c>
      <c r="M1118">
        <f>+IF(DailyData[[#This Row],[Column1]]&gt;0,DailyData[[#This Row],[Column1]]-L1105,0)</f>
        <v>0</v>
      </c>
      <c r="N1118" s="1">
        <f>+IF(DailyData[[#This Row],[Column2]]=0,0,DailyData[[#This Row],[Date]])</f>
        <v>0</v>
      </c>
    </row>
    <row r="1119" spans="3:14" x14ac:dyDescent="0.25">
      <c r="C1119" s="1">
        <v>45957</v>
      </c>
      <c r="D1119" s="2" t="s">
        <v>19</v>
      </c>
      <c r="E1119">
        <v>6000</v>
      </c>
      <c r="F1119">
        <v>0.255</v>
      </c>
      <c r="G1119">
        <v>0.27</v>
      </c>
      <c r="H1119">
        <v>0.245</v>
      </c>
      <c r="I1119">
        <v>0.26500000000000001</v>
      </c>
      <c r="J1119">
        <v>284488</v>
      </c>
      <c r="K1119">
        <v>1590</v>
      </c>
      <c r="L1119">
        <f t="shared" si="18"/>
        <v>0</v>
      </c>
      <c r="M1119">
        <f>+IF(DailyData[[#This Row],[Column1]]&gt;0,DailyData[[#This Row],[Column1]]-L1106,0)</f>
        <v>0</v>
      </c>
      <c r="N1119" s="1">
        <f>+IF(DailyData[[#This Row],[Column2]]=0,0,DailyData[[#This Row],[Date]])</f>
        <v>0</v>
      </c>
    </row>
    <row r="1120" spans="3:14" x14ac:dyDescent="0.25">
      <c r="C1120" s="1">
        <v>45957</v>
      </c>
      <c r="D1120" s="2" t="s">
        <v>20</v>
      </c>
      <c r="E1120">
        <v>0</v>
      </c>
      <c r="F1120">
        <v>39.1</v>
      </c>
      <c r="G1120">
        <v>39.380000000000003</v>
      </c>
      <c r="H1120">
        <v>38.994999999999997</v>
      </c>
      <c r="I1120">
        <v>39.11</v>
      </c>
      <c r="J1120">
        <v>2365124</v>
      </c>
      <c r="K1120">
        <v>0</v>
      </c>
      <c r="L1120">
        <f t="shared" si="18"/>
        <v>0</v>
      </c>
      <c r="M1120">
        <f>+IF(DailyData[[#This Row],[Column1]]&gt;0,DailyData[[#This Row],[Column1]]-L1107,0)</f>
        <v>0</v>
      </c>
      <c r="N1120" s="1">
        <f>+IF(DailyData[[#This Row],[Column2]]=0,0,DailyData[[#This Row],[Date]])</f>
        <v>0</v>
      </c>
    </row>
    <row r="1121" spans="3:14" x14ac:dyDescent="0.25">
      <c r="C1121" s="1">
        <v>45957</v>
      </c>
      <c r="D1121" s="2" t="s">
        <v>21</v>
      </c>
      <c r="E1121">
        <v>1288</v>
      </c>
      <c r="F1121">
        <v>24.4</v>
      </c>
      <c r="G1121">
        <v>24.725000000000001</v>
      </c>
      <c r="H1121">
        <v>24.23</v>
      </c>
      <c r="I1121">
        <v>24.69</v>
      </c>
      <c r="J1121">
        <v>4129232</v>
      </c>
      <c r="K1121">
        <v>31800.720000000001</v>
      </c>
      <c r="L1121">
        <f t="shared" si="18"/>
        <v>1098653.9199999997</v>
      </c>
      <c r="M1121">
        <f>+IF(DailyData[[#This Row],[Column1]]&gt;0,DailyData[[#This Row],[Column1]]-L1108,0)</f>
        <v>-4467.6700000001583</v>
      </c>
      <c r="N1121" s="1">
        <f>+IF(DailyData[[#This Row],[Column2]]=0,0,DailyData[[#This Row],[Date]])</f>
        <v>45957</v>
      </c>
    </row>
    <row r="1122" spans="3:14" x14ac:dyDescent="0.25">
      <c r="C1122" s="1">
        <v>45958</v>
      </c>
      <c r="D1122" s="2" t="s">
        <v>9</v>
      </c>
      <c r="E1122">
        <v>153181</v>
      </c>
      <c r="F1122">
        <v>1</v>
      </c>
      <c r="G1122">
        <v>1</v>
      </c>
      <c r="H1122">
        <v>0.96499999999999997</v>
      </c>
      <c r="I1122">
        <v>0.98499999999999999</v>
      </c>
      <c r="J1122">
        <v>3833798</v>
      </c>
      <c r="K1122">
        <v>150883.29</v>
      </c>
      <c r="L1122">
        <f t="shared" si="18"/>
        <v>0</v>
      </c>
      <c r="M1122">
        <f>+IF(DailyData[[#This Row],[Column1]]&gt;0,DailyData[[#This Row],[Column1]]-L1109,0)</f>
        <v>0</v>
      </c>
      <c r="N1122" s="1">
        <f>+IF(DailyData[[#This Row],[Column2]]=0,0,DailyData[[#This Row],[Date]])</f>
        <v>0</v>
      </c>
    </row>
    <row r="1123" spans="3:14" x14ac:dyDescent="0.25">
      <c r="C1123" s="1">
        <v>45958</v>
      </c>
      <c r="D1123" s="2" t="s">
        <v>10</v>
      </c>
      <c r="E1123">
        <v>70000</v>
      </c>
      <c r="F1123">
        <v>1.78</v>
      </c>
      <c r="G1123">
        <v>1.7949999999999999</v>
      </c>
      <c r="H1123">
        <v>1.742</v>
      </c>
      <c r="I1123">
        <v>1.7649999999999999</v>
      </c>
      <c r="J1123">
        <v>9801329</v>
      </c>
      <c r="K1123">
        <v>123550</v>
      </c>
      <c r="L1123">
        <f t="shared" si="18"/>
        <v>0</v>
      </c>
      <c r="M1123">
        <f>+IF(DailyData[[#This Row],[Column1]]&gt;0,DailyData[[#This Row],[Column1]]-L1110,0)</f>
        <v>0</v>
      </c>
      <c r="N1123" s="1">
        <f>+IF(DailyData[[#This Row],[Column2]]=0,0,DailyData[[#This Row],[Date]])</f>
        <v>0</v>
      </c>
    </row>
    <row r="1124" spans="3:14" x14ac:dyDescent="0.25">
      <c r="C1124" s="1">
        <v>45958</v>
      </c>
      <c r="D1124" s="2" t="s">
        <v>11</v>
      </c>
      <c r="E1124">
        <v>57458</v>
      </c>
      <c r="F1124">
        <v>0.89</v>
      </c>
      <c r="G1124">
        <v>0.91500000000000004</v>
      </c>
      <c r="H1124">
        <v>0.79500000000000004</v>
      </c>
      <c r="I1124">
        <v>0.86</v>
      </c>
      <c r="J1124">
        <v>7770204</v>
      </c>
      <c r="K1124">
        <v>49413.88</v>
      </c>
      <c r="L1124">
        <f t="shared" si="18"/>
        <v>0</v>
      </c>
      <c r="M1124">
        <f>+IF(DailyData[[#This Row],[Column1]]&gt;0,DailyData[[#This Row],[Column1]]-L1111,0)</f>
        <v>0</v>
      </c>
      <c r="N1124" s="1">
        <f>+IF(DailyData[[#This Row],[Column2]]=0,0,DailyData[[#This Row],[Date]])</f>
        <v>0</v>
      </c>
    </row>
    <row r="1125" spans="3:14" x14ac:dyDescent="0.25">
      <c r="C1125" s="1">
        <v>45958</v>
      </c>
      <c r="D1125" s="2" t="s">
        <v>12</v>
      </c>
      <c r="E1125">
        <v>16361</v>
      </c>
      <c r="F1125">
        <v>43.35</v>
      </c>
      <c r="G1125">
        <v>43.68</v>
      </c>
      <c r="H1125">
        <v>42.95</v>
      </c>
      <c r="I1125">
        <v>43.34</v>
      </c>
      <c r="J1125">
        <v>8925277</v>
      </c>
      <c r="K1125">
        <v>709085.74</v>
      </c>
      <c r="L1125">
        <f t="shared" si="18"/>
        <v>0</v>
      </c>
      <c r="M1125">
        <f>+IF(DailyData[[#This Row],[Column1]]&gt;0,DailyData[[#This Row],[Column1]]-L1112,0)</f>
        <v>0</v>
      </c>
      <c r="N1125" s="1">
        <f>+IF(DailyData[[#This Row],[Column2]]=0,0,DailyData[[#This Row],[Date]])</f>
        <v>0</v>
      </c>
    </row>
    <row r="1126" spans="3:14" x14ac:dyDescent="0.25">
      <c r="C1126" s="1">
        <v>45958</v>
      </c>
      <c r="D1126" s="2" t="s">
        <v>13</v>
      </c>
      <c r="E1126">
        <v>44090</v>
      </c>
      <c r="F1126">
        <v>1.4E-2</v>
      </c>
      <c r="G1126">
        <v>1.4E-2</v>
      </c>
      <c r="H1126">
        <v>1.2999999999999999E-2</v>
      </c>
      <c r="I1126">
        <v>1.2999999999999999E-2</v>
      </c>
      <c r="J1126">
        <v>552928</v>
      </c>
      <c r="K1126">
        <v>573.16999999999996</v>
      </c>
      <c r="L1126">
        <f t="shared" si="18"/>
        <v>0</v>
      </c>
      <c r="M1126">
        <f>+IF(DailyData[[#This Row],[Column1]]&gt;0,DailyData[[#This Row],[Column1]]-L1113,0)</f>
        <v>0</v>
      </c>
      <c r="N1126" s="1">
        <f>+IF(DailyData[[#This Row],[Column2]]=0,0,DailyData[[#This Row],[Date]])</f>
        <v>0</v>
      </c>
    </row>
    <row r="1127" spans="3:14" x14ac:dyDescent="0.25">
      <c r="C1127" s="1">
        <v>45958</v>
      </c>
      <c r="D1127" s="2" t="s">
        <v>14</v>
      </c>
      <c r="E1127">
        <v>0</v>
      </c>
      <c r="F1127">
        <v>173.61</v>
      </c>
      <c r="G1127">
        <v>175.86</v>
      </c>
      <c r="H1127">
        <v>173.6</v>
      </c>
      <c r="I1127">
        <v>174.02</v>
      </c>
      <c r="J1127">
        <v>1815291</v>
      </c>
      <c r="K1127">
        <v>0</v>
      </c>
      <c r="L1127">
        <f t="shared" si="18"/>
        <v>0</v>
      </c>
      <c r="M1127">
        <f>+IF(DailyData[[#This Row],[Column1]]&gt;0,DailyData[[#This Row],[Column1]]-L1114,0)</f>
        <v>0</v>
      </c>
      <c r="N1127" s="1">
        <f>+IF(DailyData[[#This Row],[Column2]]=0,0,DailyData[[#This Row],[Date]])</f>
        <v>0</v>
      </c>
    </row>
    <row r="1128" spans="3:14" x14ac:dyDescent="0.25">
      <c r="C1128" s="1">
        <v>45958</v>
      </c>
      <c r="D1128" s="2" t="s">
        <v>15</v>
      </c>
      <c r="E1128">
        <v>10000</v>
      </c>
      <c r="F1128">
        <v>0.43</v>
      </c>
      <c r="G1128">
        <v>0.43</v>
      </c>
      <c r="H1128">
        <v>0.39</v>
      </c>
      <c r="I1128">
        <v>0.41499999999999998</v>
      </c>
      <c r="J1128">
        <v>723679</v>
      </c>
      <c r="K1128">
        <v>4150</v>
      </c>
      <c r="L1128">
        <f t="shared" si="18"/>
        <v>0</v>
      </c>
      <c r="M1128">
        <f>+IF(DailyData[[#This Row],[Column1]]&gt;0,DailyData[[#This Row],[Column1]]-L1115,0)</f>
        <v>0</v>
      </c>
      <c r="N1128" s="1">
        <f>+IF(DailyData[[#This Row],[Column2]]=0,0,DailyData[[#This Row],[Date]])</f>
        <v>0</v>
      </c>
    </row>
    <row r="1129" spans="3:14" x14ac:dyDescent="0.25">
      <c r="C1129" s="1">
        <v>45958</v>
      </c>
      <c r="D1129" s="2" t="s">
        <v>16</v>
      </c>
      <c r="E1129">
        <v>20000</v>
      </c>
      <c r="F1129">
        <v>0.35</v>
      </c>
      <c r="G1129">
        <v>0.35</v>
      </c>
      <c r="H1129">
        <v>0.32</v>
      </c>
      <c r="I1129">
        <v>0.35</v>
      </c>
      <c r="J1129">
        <v>563943</v>
      </c>
      <c r="K1129">
        <v>7000</v>
      </c>
      <c r="L1129">
        <f t="shared" si="18"/>
        <v>0</v>
      </c>
      <c r="M1129">
        <f>+IF(DailyData[[#This Row],[Column1]]&gt;0,DailyData[[#This Row],[Column1]]-L1116,0)</f>
        <v>0</v>
      </c>
      <c r="N1129" s="1">
        <f>+IF(DailyData[[#This Row],[Column2]]=0,0,DailyData[[#This Row],[Date]])</f>
        <v>0</v>
      </c>
    </row>
    <row r="1130" spans="3:14" x14ac:dyDescent="0.25">
      <c r="C1130" s="1">
        <v>45958</v>
      </c>
      <c r="D1130" s="2" t="s">
        <v>17</v>
      </c>
      <c r="E1130">
        <v>700000</v>
      </c>
      <c r="F1130">
        <v>2E-3</v>
      </c>
      <c r="G1130">
        <v>2E-3</v>
      </c>
      <c r="H1130">
        <v>2E-3</v>
      </c>
      <c r="I1130">
        <v>2E-3</v>
      </c>
      <c r="J1130">
        <v>893463</v>
      </c>
      <c r="K1130">
        <v>1400</v>
      </c>
      <c r="L1130">
        <f t="shared" si="18"/>
        <v>0</v>
      </c>
      <c r="M1130">
        <f>+IF(DailyData[[#This Row],[Column1]]&gt;0,DailyData[[#This Row],[Column1]]-L1117,0)</f>
        <v>0</v>
      </c>
      <c r="N1130" s="1">
        <f>+IF(DailyData[[#This Row],[Column2]]=0,0,DailyData[[#This Row],[Date]])</f>
        <v>0</v>
      </c>
    </row>
    <row r="1131" spans="3:14" x14ac:dyDescent="0.25">
      <c r="C1131" s="1">
        <v>45958</v>
      </c>
      <c r="D1131" s="2" t="s">
        <v>18</v>
      </c>
      <c r="E1131">
        <v>9412</v>
      </c>
      <c r="F1131">
        <v>0.28999999999999998</v>
      </c>
      <c r="G1131">
        <v>0.29499999999999998</v>
      </c>
      <c r="H1131">
        <v>0.27500000000000002</v>
      </c>
      <c r="I1131">
        <v>0.27500000000000002</v>
      </c>
      <c r="J1131">
        <v>144573</v>
      </c>
      <c r="K1131">
        <v>2588.3000000000002</v>
      </c>
      <c r="L1131">
        <f t="shared" si="18"/>
        <v>0</v>
      </c>
      <c r="M1131">
        <f>+IF(DailyData[[#This Row],[Column1]]&gt;0,DailyData[[#This Row],[Column1]]-L1118,0)</f>
        <v>0</v>
      </c>
      <c r="N1131" s="1">
        <f>+IF(DailyData[[#This Row],[Column2]]=0,0,DailyData[[#This Row],[Date]])</f>
        <v>0</v>
      </c>
    </row>
    <row r="1132" spans="3:14" x14ac:dyDescent="0.25">
      <c r="C1132" s="1">
        <v>45958</v>
      </c>
      <c r="D1132" s="2" t="s">
        <v>19</v>
      </c>
      <c r="E1132">
        <v>6000</v>
      </c>
      <c r="F1132">
        <v>0.26</v>
      </c>
      <c r="G1132">
        <v>0.26</v>
      </c>
      <c r="H1132">
        <v>0.19500000000000001</v>
      </c>
      <c r="I1132">
        <v>0.19500000000000001</v>
      </c>
      <c r="J1132">
        <v>1319439</v>
      </c>
      <c r="K1132">
        <v>1170</v>
      </c>
      <c r="L1132">
        <f t="shared" si="18"/>
        <v>0</v>
      </c>
      <c r="M1132">
        <f>+IF(DailyData[[#This Row],[Column1]]&gt;0,DailyData[[#This Row],[Column1]]-L1119,0)</f>
        <v>0</v>
      </c>
      <c r="N1132" s="1">
        <f>+IF(DailyData[[#This Row],[Column2]]=0,0,DailyData[[#This Row],[Date]])</f>
        <v>0</v>
      </c>
    </row>
    <row r="1133" spans="3:14" x14ac:dyDescent="0.25">
      <c r="C1133" s="1">
        <v>45958</v>
      </c>
      <c r="D1133" s="2" t="s">
        <v>20</v>
      </c>
      <c r="E1133">
        <v>0</v>
      </c>
      <c r="F1133">
        <v>39.4</v>
      </c>
      <c r="G1133">
        <v>40.08</v>
      </c>
      <c r="H1133">
        <v>39.354999999999997</v>
      </c>
      <c r="I1133">
        <v>39.5</v>
      </c>
      <c r="J1133">
        <v>5964667</v>
      </c>
      <c r="K1133">
        <v>0</v>
      </c>
      <c r="L1133">
        <f t="shared" si="18"/>
        <v>0</v>
      </c>
      <c r="M1133">
        <f>+IF(DailyData[[#This Row],[Column1]]&gt;0,DailyData[[#This Row],[Column1]]-L1120,0)</f>
        <v>0</v>
      </c>
      <c r="N1133" s="1">
        <f>+IF(DailyData[[#This Row],[Column2]]=0,0,DailyData[[#This Row],[Date]])</f>
        <v>0</v>
      </c>
    </row>
    <row r="1134" spans="3:14" x14ac:dyDescent="0.25">
      <c r="C1134" s="1">
        <v>45958</v>
      </c>
      <c r="D1134" s="2" t="s">
        <v>21</v>
      </c>
      <c r="E1134">
        <v>1288</v>
      </c>
      <c r="F1134">
        <v>24.6</v>
      </c>
      <c r="G1134">
        <v>24.655000000000001</v>
      </c>
      <c r="H1134">
        <v>24.22</v>
      </c>
      <c r="I1134">
        <v>24.26</v>
      </c>
      <c r="J1134">
        <v>3674494</v>
      </c>
      <c r="K1134">
        <v>31246.880000000001</v>
      </c>
      <c r="L1134">
        <f t="shared" si="18"/>
        <v>1081061.26</v>
      </c>
      <c r="M1134">
        <f>+IF(DailyData[[#This Row],[Column1]]&gt;0,DailyData[[#This Row],[Column1]]-L1121,0)</f>
        <v>-17592.659999999683</v>
      </c>
      <c r="N1134" s="1">
        <f>+IF(DailyData[[#This Row],[Column2]]=0,0,DailyData[[#This Row],[Date]])</f>
        <v>45958</v>
      </c>
    </row>
    <row r="1135" spans="3:14" x14ac:dyDescent="0.25">
      <c r="C1135" s="1">
        <v>45959</v>
      </c>
      <c r="D1135" s="2" t="s">
        <v>9</v>
      </c>
      <c r="E1135">
        <v>153181</v>
      </c>
      <c r="F1135">
        <v>1.01</v>
      </c>
      <c r="G1135">
        <v>1.03</v>
      </c>
      <c r="H1135">
        <v>0.998</v>
      </c>
      <c r="I1135">
        <v>1.02</v>
      </c>
      <c r="J1135">
        <v>5031339</v>
      </c>
      <c r="K1135">
        <v>156244.62</v>
      </c>
      <c r="L1135">
        <f t="shared" si="18"/>
        <v>0</v>
      </c>
      <c r="M1135">
        <f>+IF(DailyData[[#This Row],[Column1]]&gt;0,DailyData[[#This Row],[Column1]]-L1122,0)</f>
        <v>0</v>
      </c>
      <c r="N1135" s="1">
        <f>+IF(DailyData[[#This Row],[Column2]]=0,0,DailyData[[#This Row],[Date]])</f>
        <v>0</v>
      </c>
    </row>
    <row r="1136" spans="3:14" x14ac:dyDescent="0.25">
      <c r="C1136" s="1">
        <v>45959</v>
      </c>
      <c r="D1136" s="2" t="s">
        <v>10</v>
      </c>
      <c r="E1136">
        <v>70000</v>
      </c>
      <c r="F1136">
        <v>1.74</v>
      </c>
      <c r="G1136">
        <v>1.7849999999999999</v>
      </c>
      <c r="H1136">
        <v>1.74</v>
      </c>
      <c r="I1136">
        <v>1.7649999999999999</v>
      </c>
      <c r="J1136">
        <v>3643396</v>
      </c>
      <c r="K1136">
        <v>123550</v>
      </c>
      <c r="L1136">
        <f t="shared" si="18"/>
        <v>0</v>
      </c>
      <c r="M1136">
        <f>+IF(DailyData[[#This Row],[Column1]]&gt;0,DailyData[[#This Row],[Column1]]-L1123,0)</f>
        <v>0</v>
      </c>
      <c r="N1136" s="1">
        <f>+IF(DailyData[[#This Row],[Column2]]=0,0,DailyData[[#This Row],[Date]])</f>
        <v>0</v>
      </c>
    </row>
    <row r="1137" spans="3:14" x14ac:dyDescent="0.25">
      <c r="C1137" s="1">
        <v>45959</v>
      </c>
      <c r="D1137" s="2" t="s">
        <v>11</v>
      </c>
      <c r="E1137">
        <v>57458</v>
      </c>
      <c r="F1137">
        <v>0.85</v>
      </c>
      <c r="G1137">
        <v>0.98499999999999999</v>
      </c>
      <c r="H1137">
        <v>0.83</v>
      </c>
      <c r="I1137">
        <v>0.95</v>
      </c>
      <c r="J1137">
        <v>5553481</v>
      </c>
      <c r="K1137">
        <v>54585.1</v>
      </c>
      <c r="L1137">
        <f t="shared" si="18"/>
        <v>0</v>
      </c>
      <c r="M1137">
        <f>+IF(DailyData[[#This Row],[Column1]]&gt;0,DailyData[[#This Row],[Column1]]-L1124,0)</f>
        <v>0</v>
      </c>
      <c r="N1137" s="1">
        <f>+IF(DailyData[[#This Row],[Column2]]=0,0,DailyData[[#This Row],[Date]])</f>
        <v>0</v>
      </c>
    </row>
    <row r="1138" spans="3:14" x14ac:dyDescent="0.25">
      <c r="C1138" s="1">
        <v>45959</v>
      </c>
      <c r="D1138" s="2" t="s">
        <v>12</v>
      </c>
      <c r="E1138">
        <v>16361</v>
      </c>
      <c r="F1138">
        <v>43.42</v>
      </c>
      <c r="G1138">
        <v>43.93</v>
      </c>
      <c r="H1138">
        <v>43.35</v>
      </c>
      <c r="I1138">
        <v>43.89</v>
      </c>
      <c r="J1138">
        <v>6122873</v>
      </c>
      <c r="K1138">
        <v>718084.28</v>
      </c>
      <c r="L1138">
        <f t="shared" si="18"/>
        <v>0</v>
      </c>
      <c r="M1138">
        <f>+IF(DailyData[[#This Row],[Column1]]&gt;0,DailyData[[#This Row],[Column1]]-L1125,0)</f>
        <v>0</v>
      </c>
      <c r="N1138" s="1">
        <f>+IF(DailyData[[#This Row],[Column2]]=0,0,DailyData[[#This Row],[Date]])</f>
        <v>0</v>
      </c>
    </row>
    <row r="1139" spans="3:14" x14ac:dyDescent="0.25">
      <c r="C1139" s="1">
        <v>45959</v>
      </c>
      <c r="D1139" s="2" t="s">
        <v>13</v>
      </c>
      <c r="E1139">
        <v>44090</v>
      </c>
      <c r="F1139">
        <v>1.2999999999999999E-2</v>
      </c>
      <c r="G1139">
        <v>1.4E-2</v>
      </c>
      <c r="H1139">
        <v>1.2999999999999999E-2</v>
      </c>
      <c r="I1139">
        <v>1.2999999999999999E-2</v>
      </c>
      <c r="J1139">
        <v>1019527</v>
      </c>
      <c r="K1139">
        <v>573.16999999999996</v>
      </c>
      <c r="L1139">
        <f t="shared" si="18"/>
        <v>0</v>
      </c>
      <c r="M1139">
        <f>+IF(DailyData[[#This Row],[Column1]]&gt;0,DailyData[[#This Row],[Column1]]-L1126,0)</f>
        <v>0</v>
      </c>
      <c r="N1139" s="1">
        <f>+IF(DailyData[[#This Row],[Column2]]=0,0,DailyData[[#This Row],[Date]])</f>
        <v>0</v>
      </c>
    </row>
    <row r="1140" spans="3:14" x14ac:dyDescent="0.25">
      <c r="C1140" s="1">
        <v>45959</v>
      </c>
      <c r="D1140" s="2" t="s">
        <v>14</v>
      </c>
      <c r="E1140">
        <v>0</v>
      </c>
      <c r="F1140">
        <v>174.04</v>
      </c>
      <c r="G1140">
        <v>174.8</v>
      </c>
      <c r="H1140">
        <v>169.88</v>
      </c>
      <c r="I1140">
        <v>170.4</v>
      </c>
      <c r="J1140">
        <v>1604192</v>
      </c>
      <c r="K1140">
        <v>0</v>
      </c>
      <c r="L1140">
        <f t="shared" si="18"/>
        <v>0</v>
      </c>
      <c r="M1140">
        <f>+IF(DailyData[[#This Row],[Column1]]&gt;0,DailyData[[#This Row],[Column1]]-L1127,0)</f>
        <v>0</v>
      </c>
      <c r="N1140" s="1">
        <f>+IF(DailyData[[#This Row],[Column2]]=0,0,DailyData[[#This Row],[Date]])</f>
        <v>0</v>
      </c>
    </row>
    <row r="1141" spans="3:14" x14ac:dyDescent="0.25">
      <c r="C1141" s="1">
        <v>45959</v>
      </c>
      <c r="D1141" s="2" t="s">
        <v>15</v>
      </c>
      <c r="E1141">
        <v>10000</v>
      </c>
      <c r="F1141">
        <v>0.4</v>
      </c>
      <c r="G1141">
        <v>0.435</v>
      </c>
      <c r="H1141">
        <v>0.4</v>
      </c>
      <c r="I1141">
        <v>0.435</v>
      </c>
      <c r="J1141">
        <v>120112</v>
      </c>
      <c r="K1141">
        <v>4350</v>
      </c>
      <c r="L1141">
        <f t="shared" si="18"/>
        <v>0</v>
      </c>
      <c r="M1141">
        <f>+IF(DailyData[[#This Row],[Column1]]&gt;0,DailyData[[#This Row],[Column1]]-L1128,0)</f>
        <v>0</v>
      </c>
      <c r="N1141" s="1">
        <f>+IF(DailyData[[#This Row],[Column2]]=0,0,DailyData[[#This Row],[Date]])</f>
        <v>0</v>
      </c>
    </row>
    <row r="1142" spans="3:14" x14ac:dyDescent="0.25">
      <c r="C1142" s="1">
        <v>45959</v>
      </c>
      <c r="D1142" s="2" t="s">
        <v>16</v>
      </c>
      <c r="E1142">
        <v>20000</v>
      </c>
      <c r="F1142">
        <v>0.34</v>
      </c>
      <c r="G1142">
        <v>0.34499999999999997</v>
      </c>
      <c r="H1142">
        <v>0.33</v>
      </c>
      <c r="I1142">
        <v>0.33500000000000002</v>
      </c>
      <c r="J1142">
        <v>118483</v>
      </c>
      <c r="K1142">
        <v>6700</v>
      </c>
      <c r="L1142">
        <f t="shared" si="18"/>
        <v>0</v>
      </c>
      <c r="M1142">
        <f>+IF(DailyData[[#This Row],[Column1]]&gt;0,DailyData[[#This Row],[Column1]]-L1129,0)</f>
        <v>0</v>
      </c>
      <c r="N1142" s="1">
        <f>+IF(DailyData[[#This Row],[Column2]]=0,0,DailyData[[#This Row],[Date]])</f>
        <v>0</v>
      </c>
    </row>
    <row r="1143" spans="3:14" x14ac:dyDescent="0.25">
      <c r="C1143" s="1">
        <v>45959</v>
      </c>
      <c r="D1143" s="2" t="s">
        <v>17</v>
      </c>
      <c r="E1143">
        <v>700000</v>
      </c>
      <c r="F1143">
        <v>3.0000000000000001E-3</v>
      </c>
      <c r="G1143">
        <v>3.0000000000000001E-3</v>
      </c>
      <c r="H1143">
        <v>2E-3</v>
      </c>
      <c r="I1143">
        <v>2E-3</v>
      </c>
      <c r="J1143">
        <v>25340434</v>
      </c>
      <c r="K1143">
        <v>1400</v>
      </c>
      <c r="L1143">
        <f t="shared" si="18"/>
        <v>0</v>
      </c>
      <c r="M1143">
        <f>+IF(DailyData[[#This Row],[Column1]]&gt;0,DailyData[[#This Row],[Column1]]-L1130,0)</f>
        <v>0</v>
      </c>
      <c r="N1143" s="1">
        <f>+IF(DailyData[[#This Row],[Column2]]=0,0,DailyData[[#This Row],[Date]])</f>
        <v>0</v>
      </c>
    </row>
    <row r="1144" spans="3:14" x14ac:dyDescent="0.25">
      <c r="C1144" s="1">
        <v>45959</v>
      </c>
      <c r="D1144" s="2" t="s">
        <v>18</v>
      </c>
      <c r="E1144">
        <v>9412</v>
      </c>
      <c r="F1144">
        <v>0.27500000000000002</v>
      </c>
      <c r="G1144">
        <v>0.27500000000000002</v>
      </c>
      <c r="H1144">
        <v>0.27</v>
      </c>
      <c r="I1144">
        <v>0.27</v>
      </c>
      <c r="J1144">
        <v>191279</v>
      </c>
      <c r="K1144">
        <v>2541.2399999999998</v>
      </c>
      <c r="L1144">
        <f t="shared" si="18"/>
        <v>0</v>
      </c>
      <c r="M1144">
        <f>+IF(DailyData[[#This Row],[Column1]]&gt;0,DailyData[[#This Row],[Column1]]-L1131,0)</f>
        <v>0</v>
      </c>
      <c r="N1144" s="1">
        <f>+IF(DailyData[[#This Row],[Column2]]=0,0,DailyData[[#This Row],[Date]])</f>
        <v>0</v>
      </c>
    </row>
    <row r="1145" spans="3:14" x14ac:dyDescent="0.25">
      <c r="C1145" s="1">
        <v>45959</v>
      </c>
      <c r="D1145" s="2" t="s">
        <v>19</v>
      </c>
      <c r="E1145">
        <v>6000</v>
      </c>
      <c r="F1145">
        <v>0.20499999999999999</v>
      </c>
      <c r="G1145">
        <v>0.215</v>
      </c>
      <c r="H1145">
        <v>0.19</v>
      </c>
      <c r="I1145">
        <v>0.21</v>
      </c>
      <c r="J1145">
        <v>665445</v>
      </c>
      <c r="K1145">
        <v>1260</v>
      </c>
      <c r="L1145">
        <f t="shared" si="18"/>
        <v>0</v>
      </c>
      <c r="M1145">
        <f>+IF(DailyData[[#This Row],[Column1]]&gt;0,DailyData[[#This Row],[Column1]]-L1132,0)</f>
        <v>0</v>
      </c>
      <c r="N1145" s="1">
        <f>+IF(DailyData[[#This Row],[Column2]]=0,0,DailyData[[#This Row],[Date]])</f>
        <v>0</v>
      </c>
    </row>
    <row r="1146" spans="3:14" x14ac:dyDescent="0.25">
      <c r="C1146" s="1">
        <v>45959</v>
      </c>
      <c r="D1146" s="2" t="s">
        <v>20</v>
      </c>
      <c r="E1146">
        <v>0</v>
      </c>
      <c r="F1146">
        <v>39.4</v>
      </c>
      <c r="G1146">
        <v>39.49</v>
      </c>
      <c r="H1146">
        <v>38.229999999999997</v>
      </c>
      <c r="I1146">
        <v>38.29</v>
      </c>
      <c r="J1146">
        <v>4479931</v>
      </c>
      <c r="K1146">
        <v>0</v>
      </c>
      <c r="L1146">
        <f t="shared" si="18"/>
        <v>0</v>
      </c>
      <c r="M1146">
        <f>+IF(DailyData[[#This Row],[Column1]]&gt;0,DailyData[[#This Row],[Column1]]-L1133,0)</f>
        <v>0</v>
      </c>
      <c r="N1146" s="1">
        <f>+IF(DailyData[[#This Row],[Column2]]=0,0,DailyData[[#This Row],[Date]])</f>
        <v>0</v>
      </c>
    </row>
    <row r="1147" spans="3:14" x14ac:dyDescent="0.25">
      <c r="C1147" s="1">
        <v>45959</v>
      </c>
      <c r="D1147" s="2" t="s">
        <v>21</v>
      </c>
      <c r="E1147">
        <v>1288</v>
      </c>
      <c r="F1147">
        <v>24.05</v>
      </c>
      <c r="G1147">
        <v>24.18</v>
      </c>
      <c r="H1147">
        <v>23.91</v>
      </c>
      <c r="I1147">
        <v>24.16</v>
      </c>
      <c r="J1147">
        <v>3100267</v>
      </c>
      <c r="K1147">
        <v>31118.080000000002</v>
      </c>
      <c r="L1147">
        <f t="shared" si="18"/>
        <v>1100406.49</v>
      </c>
      <c r="M1147">
        <f>+IF(DailyData[[#This Row],[Column1]]&gt;0,DailyData[[#This Row],[Column1]]-L1134,0)</f>
        <v>19345.229999999981</v>
      </c>
      <c r="N1147" s="1">
        <f>+IF(DailyData[[#This Row],[Column2]]=0,0,DailyData[[#This Row],[Date]])</f>
        <v>45959</v>
      </c>
    </row>
    <row r="1148" spans="3:14" x14ac:dyDescent="0.25">
      <c r="C1148" s="1">
        <v>45960</v>
      </c>
      <c r="D1148" s="2" t="s">
        <v>9</v>
      </c>
      <c r="E1148">
        <v>153181</v>
      </c>
      <c r="F1148">
        <v>1.0149999999999999</v>
      </c>
      <c r="G1148">
        <v>1.0149999999999999</v>
      </c>
      <c r="H1148">
        <v>0.97</v>
      </c>
      <c r="I1148">
        <v>0.98</v>
      </c>
      <c r="J1148">
        <v>3105181</v>
      </c>
      <c r="K1148">
        <v>150117.38</v>
      </c>
      <c r="L1148">
        <f t="shared" si="18"/>
        <v>0</v>
      </c>
      <c r="M1148">
        <f>+IF(DailyData[[#This Row],[Column1]]&gt;0,DailyData[[#This Row],[Column1]]-L1135,0)</f>
        <v>0</v>
      </c>
      <c r="N1148" s="1">
        <f>+IF(DailyData[[#This Row],[Column2]]=0,0,DailyData[[#This Row],[Date]])</f>
        <v>0</v>
      </c>
    </row>
    <row r="1149" spans="3:14" x14ac:dyDescent="0.25">
      <c r="C1149" s="1">
        <v>45960</v>
      </c>
      <c r="D1149" s="2" t="s">
        <v>10</v>
      </c>
      <c r="E1149">
        <v>70000</v>
      </c>
      <c r="F1149">
        <v>1.74</v>
      </c>
      <c r="G1149">
        <v>1.7649999999999999</v>
      </c>
      <c r="H1149">
        <v>1.73</v>
      </c>
      <c r="I1149">
        <v>1.73</v>
      </c>
      <c r="J1149">
        <v>4302859</v>
      </c>
      <c r="K1149">
        <v>121100</v>
      </c>
      <c r="L1149">
        <f t="shared" si="18"/>
        <v>0</v>
      </c>
      <c r="M1149">
        <f>+IF(DailyData[[#This Row],[Column1]]&gt;0,DailyData[[#This Row],[Column1]]-L1136,0)</f>
        <v>0</v>
      </c>
      <c r="N1149" s="1">
        <f>+IF(DailyData[[#This Row],[Column2]]=0,0,DailyData[[#This Row],[Date]])</f>
        <v>0</v>
      </c>
    </row>
    <row r="1150" spans="3:14" x14ac:dyDescent="0.25">
      <c r="C1150" s="1">
        <v>45960</v>
      </c>
      <c r="D1150" s="2" t="s">
        <v>11</v>
      </c>
      <c r="E1150">
        <v>57458</v>
      </c>
      <c r="F1150">
        <v>0.95499999999999996</v>
      </c>
      <c r="G1150">
        <v>0.95499999999999996</v>
      </c>
      <c r="H1150">
        <v>0.88500000000000001</v>
      </c>
      <c r="I1150">
        <v>0.92</v>
      </c>
      <c r="J1150">
        <v>1420669</v>
      </c>
      <c r="K1150">
        <v>52861.36</v>
      </c>
      <c r="L1150">
        <f t="shared" si="18"/>
        <v>0</v>
      </c>
      <c r="M1150">
        <f>+IF(DailyData[[#This Row],[Column1]]&gt;0,DailyData[[#This Row],[Column1]]-L1137,0)</f>
        <v>0</v>
      </c>
      <c r="N1150" s="1">
        <f>+IF(DailyData[[#This Row],[Column2]]=0,0,DailyData[[#This Row],[Date]])</f>
        <v>0</v>
      </c>
    </row>
    <row r="1151" spans="3:14" x14ac:dyDescent="0.25">
      <c r="C1151" s="1">
        <v>45960</v>
      </c>
      <c r="D1151" s="2" t="s">
        <v>12</v>
      </c>
      <c r="E1151">
        <v>16361</v>
      </c>
      <c r="F1151">
        <v>44.28</v>
      </c>
      <c r="G1151">
        <v>44.55</v>
      </c>
      <c r="H1151">
        <v>43.81</v>
      </c>
      <c r="I1151">
        <v>43.88</v>
      </c>
      <c r="J1151">
        <v>7203994</v>
      </c>
      <c r="K1151">
        <v>717920.7</v>
      </c>
      <c r="L1151">
        <f t="shared" si="18"/>
        <v>0</v>
      </c>
      <c r="M1151">
        <f>+IF(DailyData[[#This Row],[Column1]]&gt;0,DailyData[[#This Row],[Column1]]-L1138,0)</f>
        <v>0</v>
      </c>
      <c r="N1151" s="1">
        <f>+IF(DailyData[[#This Row],[Column2]]=0,0,DailyData[[#This Row],[Date]])</f>
        <v>0</v>
      </c>
    </row>
    <row r="1152" spans="3:14" x14ac:dyDescent="0.25">
      <c r="C1152" s="1">
        <v>45960</v>
      </c>
      <c r="D1152" s="2" t="s">
        <v>13</v>
      </c>
      <c r="E1152">
        <v>44090</v>
      </c>
      <c r="F1152">
        <v>1.2999999999999999E-2</v>
      </c>
      <c r="G1152">
        <v>1.2999999999999999E-2</v>
      </c>
      <c r="H1152">
        <v>1.2E-2</v>
      </c>
      <c r="I1152">
        <v>1.2E-2</v>
      </c>
      <c r="J1152">
        <v>7270581</v>
      </c>
      <c r="K1152">
        <v>529.08000000000004</v>
      </c>
      <c r="L1152">
        <f t="shared" si="18"/>
        <v>0</v>
      </c>
      <c r="M1152">
        <f>+IF(DailyData[[#This Row],[Column1]]&gt;0,DailyData[[#This Row],[Column1]]-L1139,0)</f>
        <v>0</v>
      </c>
      <c r="N1152" s="1">
        <f>+IF(DailyData[[#This Row],[Column2]]=0,0,DailyData[[#This Row],[Date]])</f>
        <v>0</v>
      </c>
    </row>
    <row r="1153" spans="3:14" x14ac:dyDescent="0.25">
      <c r="C1153" s="1">
        <v>45960</v>
      </c>
      <c r="D1153" s="2" t="s">
        <v>14</v>
      </c>
      <c r="E1153">
        <v>0</v>
      </c>
      <c r="F1153">
        <v>169.23</v>
      </c>
      <c r="G1153">
        <v>172.04</v>
      </c>
      <c r="H1153">
        <v>169.16</v>
      </c>
      <c r="I1153">
        <v>170.53</v>
      </c>
      <c r="J1153">
        <v>1330626</v>
      </c>
      <c r="K1153">
        <v>0</v>
      </c>
      <c r="L1153">
        <f t="shared" si="18"/>
        <v>0</v>
      </c>
      <c r="M1153">
        <f>+IF(DailyData[[#This Row],[Column1]]&gt;0,DailyData[[#This Row],[Column1]]-L1140,0)</f>
        <v>0</v>
      </c>
      <c r="N1153" s="1">
        <f>+IF(DailyData[[#This Row],[Column2]]=0,0,DailyData[[#This Row],[Date]])</f>
        <v>0</v>
      </c>
    </row>
    <row r="1154" spans="3:14" x14ac:dyDescent="0.25">
      <c r="C1154" s="1">
        <v>45960</v>
      </c>
      <c r="D1154" s="2" t="s">
        <v>15</v>
      </c>
      <c r="E1154">
        <v>10000</v>
      </c>
      <c r="F1154">
        <v>0.435</v>
      </c>
      <c r="G1154">
        <v>0.44</v>
      </c>
      <c r="H1154">
        <v>0.41499999999999998</v>
      </c>
      <c r="I1154">
        <v>0.42</v>
      </c>
      <c r="J1154">
        <v>176677</v>
      </c>
      <c r="K1154">
        <v>4200</v>
      </c>
      <c r="L1154">
        <f t="shared" si="18"/>
        <v>0</v>
      </c>
      <c r="M1154">
        <f>+IF(DailyData[[#This Row],[Column1]]&gt;0,DailyData[[#This Row],[Column1]]-L1141,0)</f>
        <v>0</v>
      </c>
      <c r="N1154" s="1">
        <f>+IF(DailyData[[#This Row],[Column2]]=0,0,DailyData[[#This Row],[Date]])</f>
        <v>0</v>
      </c>
    </row>
    <row r="1155" spans="3:14" x14ac:dyDescent="0.25">
      <c r="C1155" s="1">
        <v>45960</v>
      </c>
      <c r="D1155" s="2" t="s">
        <v>16</v>
      </c>
      <c r="E1155">
        <v>20000</v>
      </c>
      <c r="F1155">
        <v>0.34</v>
      </c>
      <c r="G1155">
        <v>0.34</v>
      </c>
      <c r="H1155">
        <v>0.32500000000000001</v>
      </c>
      <c r="I1155">
        <v>0.32500000000000001</v>
      </c>
      <c r="J1155">
        <v>60512</v>
      </c>
      <c r="K1155">
        <v>6500</v>
      </c>
      <c r="L1155">
        <f t="shared" si="18"/>
        <v>0</v>
      </c>
      <c r="M1155">
        <f>+IF(DailyData[[#This Row],[Column1]]&gt;0,DailyData[[#This Row],[Column1]]-L1142,0)</f>
        <v>0</v>
      </c>
      <c r="N1155" s="1">
        <f>+IF(DailyData[[#This Row],[Column2]]=0,0,DailyData[[#This Row],[Date]])</f>
        <v>0</v>
      </c>
    </row>
    <row r="1156" spans="3:14" x14ac:dyDescent="0.25">
      <c r="C1156" s="1">
        <v>45960</v>
      </c>
      <c r="D1156" s="2" t="s">
        <v>17</v>
      </c>
      <c r="E1156">
        <v>700000</v>
      </c>
      <c r="F1156">
        <v>3.0000000000000001E-3</v>
      </c>
      <c r="G1156">
        <v>3.0000000000000001E-3</v>
      </c>
      <c r="H1156">
        <v>2E-3</v>
      </c>
      <c r="I1156">
        <v>3.0000000000000001E-3</v>
      </c>
      <c r="J1156">
        <v>4112358</v>
      </c>
      <c r="K1156">
        <v>2100</v>
      </c>
      <c r="L1156">
        <f t="shared" si="18"/>
        <v>0</v>
      </c>
      <c r="M1156">
        <f>+IF(DailyData[[#This Row],[Column1]]&gt;0,DailyData[[#This Row],[Column1]]-L1143,0)</f>
        <v>0</v>
      </c>
      <c r="N1156" s="1">
        <f>+IF(DailyData[[#This Row],[Column2]]=0,0,DailyData[[#This Row],[Date]])</f>
        <v>0</v>
      </c>
    </row>
    <row r="1157" spans="3:14" x14ac:dyDescent="0.25">
      <c r="C1157" s="1">
        <v>45960</v>
      </c>
      <c r="D1157" s="2" t="s">
        <v>18</v>
      </c>
      <c r="E1157">
        <v>9412</v>
      </c>
      <c r="F1157">
        <v>0.27800000000000002</v>
      </c>
      <c r="G1157">
        <v>0.28999999999999998</v>
      </c>
      <c r="H1157">
        <v>0.27500000000000002</v>
      </c>
      <c r="I1157">
        <v>0.28000000000000003</v>
      </c>
      <c r="J1157">
        <v>175864</v>
      </c>
      <c r="K1157">
        <v>2635.36</v>
      </c>
      <c r="L1157">
        <f t="shared" si="18"/>
        <v>0</v>
      </c>
      <c r="M1157">
        <f>+IF(DailyData[[#This Row],[Column1]]&gt;0,DailyData[[#This Row],[Column1]]-L1144,0)</f>
        <v>0</v>
      </c>
      <c r="N1157" s="1">
        <f>+IF(DailyData[[#This Row],[Column2]]=0,0,DailyData[[#This Row],[Date]])</f>
        <v>0</v>
      </c>
    </row>
    <row r="1158" spans="3:14" x14ac:dyDescent="0.25">
      <c r="C1158" s="1">
        <v>45960</v>
      </c>
      <c r="D1158" s="2" t="s">
        <v>19</v>
      </c>
      <c r="E1158">
        <v>6000</v>
      </c>
      <c r="F1158">
        <v>0.215</v>
      </c>
      <c r="G1158">
        <v>0.23</v>
      </c>
      <c r="H1158">
        <v>0.2</v>
      </c>
      <c r="I1158">
        <v>0.2</v>
      </c>
      <c r="J1158">
        <v>444619</v>
      </c>
      <c r="K1158">
        <v>1200</v>
      </c>
      <c r="L1158">
        <f t="shared" si="18"/>
        <v>0</v>
      </c>
      <c r="M1158">
        <f>+IF(DailyData[[#This Row],[Column1]]&gt;0,DailyData[[#This Row],[Column1]]-L1145,0)</f>
        <v>0</v>
      </c>
      <c r="N1158" s="1">
        <f>+IF(DailyData[[#This Row],[Column2]]=0,0,DailyData[[#This Row],[Date]])</f>
        <v>0</v>
      </c>
    </row>
    <row r="1159" spans="3:14" x14ac:dyDescent="0.25">
      <c r="C1159" s="1">
        <v>45960</v>
      </c>
      <c r="D1159" s="2" t="s">
        <v>20</v>
      </c>
      <c r="E1159">
        <v>0</v>
      </c>
      <c r="F1159">
        <v>38.24</v>
      </c>
      <c r="G1159">
        <v>38.82</v>
      </c>
      <c r="H1159">
        <v>38.200000000000003</v>
      </c>
      <c r="I1159">
        <v>38.33</v>
      </c>
      <c r="J1159">
        <v>4180124</v>
      </c>
      <c r="K1159">
        <v>0</v>
      </c>
      <c r="L1159">
        <f t="shared" si="18"/>
        <v>0</v>
      </c>
      <c r="M1159">
        <f>+IF(DailyData[[#This Row],[Column1]]&gt;0,DailyData[[#This Row],[Column1]]-L1146,0)</f>
        <v>0</v>
      </c>
      <c r="N1159" s="1">
        <f>+IF(DailyData[[#This Row],[Column2]]=0,0,DailyData[[#This Row],[Date]])</f>
        <v>0</v>
      </c>
    </row>
    <row r="1160" spans="3:14" x14ac:dyDescent="0.25">
      <c r="C1160" s="1">
        <v>45960</v>
      </c>
      <c r="D1160" s="2" t="s">
        <v>21</v>
      </c>
      <c r="E1160">
        <v>1288</v>
      </c>
      <c r="F1160">
        <v>24.36</v>
      </c>
      <c r="G1160">
        <v>24.57</v>
      </c>
      <c r="H1160">
        <v>24.3</v>
      </c>
      <c r="I1160">
        <v>24.5</v>
      </c>
      <c r="J1160">
        <v>3988820</v>
      </c>
      <c r="K1160">
        <v>31556</v>
      </c>
      <c r="L1160">
        <f t="shared" si="18"/>
        <v>1090719.8800000001</v>
      </c>
      <c r="M1160">
        <f>+IF(DailyData[[#This Row],[Column1]]&gt;0,DailyData[[#This Row],[Column1]]-L1147,0)</f>
        <v>-9686.6099999998696</v>
      </c>
      <c r="N1160" s="1">
        <f>+IF(DailyData[[#This Row],[Column2]]=0,0,DailyData[[#This Row],[Date]])</f>
        <v>45960</v>
      </c>
    </row>
    <row r="1161" spans="3:14" x14ac:dyDescent="0.25">
      <c r="C1161" s="1">
        <v>45961</v>
      </c>
      <c r="D1161" s="2" t="s">
        <v>9</v>
      </c>
      <c r="E1161">
        <v>153181</v>
      </c>
      <c r="F1161">
        <v>1</v>
      </c>
      <c r="G1161">
        <v>1.03</v>
      </c>
      <c r="H1161">
        <v>0.995</v>
      </c>
      <c r="I1161">
        <v>1.0049999999999999</v>
      </c>
      <c r="J1161">
        <v>2230461</v>
      </c>
      <c r="K1161">
        <v>153946.9</v>
      </c>
      <c r="L1161">
        <f t="shared" si="18"/>
        <v>0</v>
      </c>
      <c r="M1161">
        <f>+IF(DailyData[[#This Row],[Column1]]&gt;0,DailyData[[#This Row],[Column1]]-L1148,0)</f>
        <v>0</v>
      </c>
      <c r="N1161" s="1">
        <f>+IF(DailyData[[#This Row],[Column2]]=0,0,DailyData[[#This Row],[Date]])</f>
        <v>0</v>
      </c>
    </row>
    <row r="1162" spans="3:14" x14ac:dyDescent="0.25">
      <c r="C1162" s="1">
        <v>45961</v>
      </c>
      <c r="D1162" s="2" t="s">
        <v>10</v>
      </c>
      <c r="E1162">
        <v>70000</v>
      </c>
      <c r="F1162">
        <v>1.7350000000000001</v>
      </c>
      <c r="G1162">
        <v>1.7949999999999999</v>
      </c>
      <c r="H1162">
        <v>1.7350000000000001</v>
      </c>
      <c r="I1162">
        <v>1.7849999999999999</v>
      </c>
      <c r="J1162">
        <v>5897915</v>
      </c>
      <c r="K1162">
        <v>124950</v>
      </c>
      <c r="L1162">
        <f t="shared" si="18"/>
        <v>0</v>
      </c>
      <c r="M1162">
        <f>+IF(DailyData[[#This Row],[Column1]]&gt;0,DailyData[[#This Row],[Column1]]-L1149,0)</f>
        <v>0</v>
      </c>
      <c r="N1162" s="1">
        <f>+IF(DailyData[[#This Row],[Column2]]=0,0,DailyData[[#This Row],[Date]])</f>
        <v>0</v>
      </c>
    </row>
    <row r="1163" spans="3:14" x14ac:dyDescent="0.25">
      <c r="C1163" s="1">
        <v>45961</v>
      </c>
      <c r="D1163" s="2" t="s">
        <v>11</v>
      </c>
      <c r="E1163">
        <v>57458</v>
      </c>
      <c r="F1163">
        <v>0.91500000000000004</v>
      </c>
      <c r="G1163">
        <v>1.0249999999999999</v>
      </c>
      <c r="H1163">
        <v>0.88</v>
      </c>
      <c r="I1163">
        <v>1.01</v>
      </c>
      <c r="J1163">
        <v>3273764</v>
      </c>
      <c r="K1163">
        <v>58032.58</v>
      </c>
      <c r="L1163">
        <f t="shared" si="18"/>
        <v>0</v>
      </c>
      <c r="M1163">
        <f>+IF(DailyData[[#This Row],[Column1]]&gt;0,DailyData[[#This Row],[Column1]]-L1150,0)</f>
        <v>0</v>
      </c>
      <c r="N1163" s="1">
        <f>+IF(DailyData[[#This Row],[Column2]]=0,0,DailyData[[#This Row],[Date]])</f>
        <v>0</v>
      </c>
    </row>
    <row r="1164" spans="3:14" x14ac:dyDescent="0.25">
      <c r="C1164" s="1">
        <v>45961</v>
      </c>
      <c r="D1164" s="2" t="s">
        <v>12</v>
      </c>
      <c r="E1164">
        <v>16361</v>
      </c>
      <c r="F1164">
        <v>43.6</v>
      </c>
      <c r="G1164">
        <v>44.09</v>
      </c>
      <c r="H1164">
        <v>43.45</v>
      </c>
      <c r="I1164">
        <v>43.45</v>
      </c>
      <c r="J1164">
        <v>7562306</v>
      </c>
      <c r="K1164">
        <v>710885.46</v>
      </c>
      <c r="L1164">
        <f t="shared" si="18"/>
        <v>0</v>
      </c>
      <c r="M1164">
        <f>+IF(DailyData[[#This Row],[Column1]]&gt;0,DailyData[[#This Row],[Column1]]-L1151,0)</f>
        <v>0</v>
      </c>
      <c r="N1164" s="1">
        <f>+IF(DailyData[[#This Row],[Column2]]=0,0,DailyData[[#This Row],[Date]])</f>
        <v>0</v>
      </c>
    </row>
    <row r="1165" spans="3:14" x14ac:dyDescent="0.25">
      <c r="C1165" s="1">
        <v>45961</v>
      </c>
      <c r="D1165" s="2" t="s">
        <v>13</v>
      </c>
      <c r="E1165">
        <v>44090</v>
      </c>
      <c r="F1165">
        <v>1.2E-2</v>
      </c>
      <c r="G1165">
        <v>1.2999999999999999E-2</v>
      </c>
      <c r="H1165">
        <v>1.2E-2</v>
      </c>
      <c r="I1165">
        <v>1.2E-2</v>
      </c>
      <c r="J1165">
        <v>11756616</v>
      </c>
      <c r="K1165">
        <v>529.08000000000004</v>
      </c>
      <c r="L1165">
        <f t="shared" si="18"/>
        <v>0</v>
      </c>
      <c r="M1165">
        <f>+IF(DailyData[[#This Row],[Column1]]&gt;0,DailyData[[#This Row],[Column1]]-L1152,0)</f>
        <v>0</v>
      </c>
      <c r="N1165" s="1">
        <f>+IF(DailyData[[#This Row],[Column2]]=0,0,DailyData[[#This Row],[Date]])</f>
        <v>0</v>
      </c>
    </row>
    <row r="1166" spans="3:14" x14ac:dyDescent="0.25">
      <c r="C1166" s="1">
        <v>45961</v>
      </c>
      <c r="D1166" s="2" t="s">
        <v>14</v>
      </c>
      <c r="E1166">
        <v>0</v>
      </c>
      <c r="F1166">
        <v>171.91</v>
      </c>
      <c r="G1166">
        <v>173.74</v>
      </c>
      <c r="H1166">
        <v>171.17</v>
      </c>
      <c r="I1166">
        <v>171.64</v>
      </c>
      <c r="J1166">
        <v>2043532</v>
      </c>
      <c r="K1166">
        <v>0</v>
      </c>
      <c r="L1166">
        <f t="shared" si="18"/>
        <v>0</v>
      </c>
      <c r="M1166">
        <f>+IF(DailyData[[#This Row],[Column1]]&gt;0,DailyData[[#This Row],[Column1]]-L1153,0)</f>
        <v>0</v>
      </c>
      <c r="N1166" s="1">
        <f>+IF(DailyData[[#This Row],[Column2]]=0,0,DailyData[[#This Row],[Date]])</f>
        <v>0</v>
      </c>
    </row>
    <row r="1167" spans="3:14" x14ac:dyDescent="0.25">
      <c r="C1167" s="1">
        <v>45961</v>
      </c>
      <c r="D1167" s="2" t="s">
        <v>15</v>
      </c>
      <c r="E1167">
        <v>10000</v>
      </c>
      <c r="F1167">
        <v>0.42</v>
      </c>
      <c r="G1167">
        <v>0.42</v>
      </c>
      <c r="H1167">
        <v>0.40500000000000003</v>
      </c>
      <c r="I1167">
        <v>0.41</v>
      </c>
      <c r="J1167">
        <v>521227</v>
      </c>
      <c r="K1167">
        <v>4100</v>
      </c>
      <c r="L1167">
        <f t="shared" si="18"/>
        <v>0</v>
      </c>
      <c r="M1167">
        <f>+IF(DailyData[[#This Row],[Column1]]&gt;0,DailyData[[#This Row],[Column1]]-L1154,0)</f>
        <v>0</v>
      </c>
      <c r="N1167" s="1">
        <f>+IF(DailyData[[#This Row],[Column2]]=0,0,DailyData[[#This Row],[Date]])</f>
        <v>0</v>
      </c>
    </row>
    <row r="1168" spans="3:14" x14ac:dyDescent="0.25">
      <c r="C1168" s="1">
        <v>45961</v>
      </c>
      <c r="D1168" s="2" t="s">
        <v>16</v>
      </c>
      <c r="E1168">
        <v>20000</v>
      </c>
      <c r="F1168">
        <v>0.32</v>
      </c>
      <c r="G1168">
        <v>0.32</v>
      </c>
      <c r="H1168">
        <v>0.31</v>
      </c>
      <c r="I1168">
        <v>0.31</v>
      </c>
      <c r="J1168">
        <v>581143</v>
      </c>
      <c r="K1168">
        <v>6200</v>
      </c>
      <c r="L1168">
        <f t="shared" si="18"/>
        <v>0</v>
      </c>
      <c r="M1168">
        <f>+IF(DailyData[[#This Row],[Column1]]&gt;0,DailyData[[#This Row],[Column1]]-L1155,0)</f>
        <v>0</v>
      </c>
      <c r="N1168" s="1">
        <f>+IF(DailyData[[#This Row],[Column2]]=0,0,DailyData[[#This Row],[Date]])</f>
        <v>0</v>
      </c>
    </row>
    <row r="1169" spans="3:14" x14ac:dyDescent="0.25">
      <c r="C1169" s="1">
        <v>45961</v>
      </c>
      <c r="D1169" s="2" t="s">
        <v>17</v>
      </c>
      <c r="E1169">
        <v>700000</v>
      </c>
      <c r="F1169">
        <v>2E-3</v>
      </c>
      <c r="G1169">
        <v>2E-3</v>
      </c>
      <c r="H1169">
        <v>2E-3</v>
      </c>
      <c r="I1169">
        <v>2E-3</v>
      </c>
      <c r="J1169">
        <v>1863696</v>
      </c>
      <c r="K1169">
        <v>1750</v>
      </c>
      <c r="L1169">
        <f t="shared" ref="L1169:L1199" si="19">+IF(C1170&lt;&gt;C1169,SUM(K1157:K1169),0)</f>
        <v>0</v>
      </c>
      <c r="M1169">
        <f>+IF(DailyData[[#This Row],[Column1]]&gt;0,DailyData[[#This Row],[Column1]]-L1156,0)</f>
        <v>0</v>
      </c>
      <c r="N1169" s="1">
        <f>+IF(DailyData[[#This Row],[Column2]]=0,0,DailyData[[#This Row],[Date]])</f>
        <v>0</v>
      </c>
    </row>
    <row r="1170" spans="3:14" x14ac:dyDescent="0.25">
      <c r="C1170" s="1">
        <v>45961</v>
      </c>
      <c r="D1170" s="2" t="s">
        <v>18</v>
      </c>
      <c r="E1170">
        <v>9412</v>
      </c>
      <c r="F1170">
        <v>0.28999999999999998</v>
      </c>
      <c r="G1170">
        <v>0.28999999999999998</v>
      </c>
      <c r="H1170">
        <v>0.28000000000000003</v>
      </c>
      <c r="I1170">
        <v>0.28000000000000003</v>
      </c>
      <c r="J1170">
        <v>82148</v>
      </c>
      <c r="K1170">
        <v>2635.36</v>
      </c>
      <c r="L1170">
        <f t="shared" si="19"/>
        <v>0</v>
      </c>
      <c r="M1170">
        <f>+IF(DailyData[[#This Row],[Column1]]&gt;0,DailyData[[#This Row],[Column1]]-L1157,0)</f>
        <v>0</v>
      </c>
      <c r="N1170" s="1">
        <f>+IF(DailyData[[#This Row],[Column2]]=0,0,DailyData[[#This Row],[Date]])</f>
        <v>0</v>
      </c>
    </row>
    <row r="1171" spans="3:14" x14ac:dyDescent="0.25">
      <c r="C1171" s="1">
        <v>45961</v>
      </c>
      <c r="D1171" s="2" t="s">
        <v>19</v>
      </c>
      <c r="E1171">
        <v>6000</v>
      </c>
      <c r="F1171">
        <v>0.21</v>
      </c>
      <c r="G1171">
        <v>0.245</v>
      </c>
      <c r="H1171">
        <v>0.20499999999999999</v>
      </c>
      <c r="I1171">
        <v>0.23</v>
      </c>
      <c r="J1171">
        <v>341307</v>
      </c>
      <c r="K1171">
        <v>1380</v>
      </c>
      <c r="L1171">
        <f t="shared" si="19"/>
        <v>0</v>
      </c>
      <c r="M1171">
        <f>+IF(DailyData[[#This Row],[Column1]]&gt;0,DailyData[[#This Row],[Column1]]-L1158,0)</f>
        <v>0</v>
      </c>
      <c r="N1171" s="1">
        <f>+IF(DailyData[[#This Row],[Column2]]=0,0,DailyData[[#This Row],[Date]])</f>
        <v>0</v>
      </c>
    </row>
    <row r="1172" spans="3:14" x14ac:dyDescent="0.25">
      <c r="C1172" s="1">
        <v>45961</v>
      </c>
      <c r="D1172" s="2" t="s">
        <v>20</v>
      </c>
      <c r="E1172">
        <v>0</v>
      </c>
      <c r="F1172">
        <v>38.42</v>
      </c>
      <c r="G1172">
        <v>38.954999999999998</v>
      </c>
      <c r="H1172">
        <v>38.42</v>
      </c>
      <c r="I1172">
        <v>38.74</v>
      </c>
      <c r="J1172">
        <v>6575759</v>
      </c>
      <c r="K1172">
        <v>0</v>
      </c>
      <c r="L1172">
        <f t="shared" si="19"/>
        <v>0</v>
      </c>
      <c r="M1172">
        <f>+IF(DailyData[[#This Row],[Column1]]&gt;0,DailyData[[#This Row],[Column1]]-L1159,0)</f>
        <v>0</v>
      </c>
      <c r="N1172" s="1">
        <f>+IF(DailyData[[#This Row],[Column2]]=0,0,DailyData[[#This Row],[Date]])</f>
        <v>0</v>
      </c>
    </row>
    <row r="1173" spans="3:14" x14ac:dyDescent="0.25">
      <c r="C1173" s="1">
        <v>45961</v>
      </c>
      <c r="D1173" s="2" t="s">
        <v>21</v>
      </c>
      <c r="E1173">
        <v>1288</v>
      </c>
      <c r="F1173">
        <v>24.5</v>
      </c>
      <c r="G1173">
        <v>24.85</v>
      </c>
      <c r="H1173">
        <v>24.36</v>
      </c>
      <c r="I1173">
        <v>24.8</v>
      </c>
      <c r="J1173">
        <v>4962034</v>
      </c>
      <c r="K1173">
        <v>31942.400000000001</v>
      </c>
      <c r="L1173">
        <f t="shared" si="19"/>
        <v>1096351.78</v>
      </c>
      <c r="M1173">
        <f>+IF(DailyData[[#This Row],[Column1]]&gt;0,DailyData[[#This Row],[Column1]]-L1160,0)</f>
        <v>5631.8999999999069</v>
      </c>
      <c r="N1173" s="1">
        <f>+IF(DailyData[[#This Row],[Column2]]=0,0,DailyData[[#This Row],[Date]])</f>
        <v>45961</v>
      </c>
    </row>
    <row r="1174" spans="3:14" x14ac:dyDescent="0.25">
      <c r="C1174" s="1">
        <v>45964</v>
      </c>
      <c r="D1174" s="2" t="s">
        <v>9</v>
      </c>
      <c r="E1174">
        <v>153181</v>
      </c>
      <c r="F1174">
        <v>0.99</v>
      </c>
      <c r="G1174">
        <v>1.0249999999999999</v>
      </c>
      <c r="H1174">
        <v>0.99</v>
      </c>
      <c r="I1174">
        <v>1.02</v>
      </c>
      <c r="J1174">
        <v>2459040</v>
      </c>
      <c r="K1174">
        <v>156244.62</v>
      </c>
      <c r="L1174">
        <f t="shared" si="19"/>
        <v>0</v>
      </c>
      <c r="M1174">
        <f>+IF(DailyData[[#This Row],[Column1]]&gt;0,DailyData[[#This Row],[Column1]]-L1161,0)</f>
        <v>0</v>
      </c>
      <c r="N1174" s="1">
        <f>+IF(DailyData[[#This Row],[Column2]]=0,0,DailyData[[#This Row],[Date]])</f>
        <v>0</v>
      </c>
    </row>
    <row r="1175" spans="3:14" x14ac:dyDescent="0.25">
      <c r="C1175" s="1">
        <v>45964</v>
      </c>
      <c r="D1175" s="2" t="s">
        <v>10</v>
      </c>
      <c r="E1175">
        <v>70000</v>
      </c>
      <c r="F1175">
        <v>1.78</v>
      </c>
      <c r="G1175">
        <v>1.7949999999999999</v>
      </c>
      <c r="H1175">
        <v>1.75</v>
      </c>
      <c r="I1175">
        <v>1.76</v>
      </c>
      <c r="J1175">
        <v>5634935</v>
      </c>
      <c r="K1175">
        <v>123200</v>
      </c>
      <c r="L1175">
        <f t="shared" si="19"/>
        <v>0</v>
      </c>
      <c r="M1175">
        <f>+IF(DailyData[[#This Row],[Column1]]&gt;0,DailyData[[#This Row],[Column1]]-L1162,0)</f>
        <v>0</v>
      </c>
      <c r="N1175" s="1">
        <f>+IF(DailyData[[#This Row],[Column2]]=0,0,DailyData[[#This Row],[Date]])</f>
        <v>0</v>
      </c>
    </row>
    <row r="1176" spans="3:14" x14ac:dyDescent="0.25">
      <c r="C1176" s="1">
        <v>45964</v>
      </c>
      <c r="D1176" s="2" t="s">
        <v>11</v>
      </c>
      <c r="E1176">
        <v>57458</v>
      </c>
      <c r="F1176">
        <v>1.04</v>
      </c>
      <c r="G1176">
        <v>1.04</v>
      </c>
      <c r="H1176">
        <v>0.90500000000000003</v>
      </c>
      <c r="I1176">
        <v>0.91500000000000004</v>
      </c>
      <c r="J1176">
        <v>2164093</v>
      </c>
      <c r="K1176">
        <v>52574.07</v>
      </c>
      <c r="L1176">
        <f t="shared" si="19"/>
        <v>0</v>
      </c>
      <c r="M1176">
        <f>+IF(DailyData[[#This Row],[Column1]]&gt;0,DailyData[[#This Row],[Column1]]-L1163,0)</f>
        <v>0</v>
      </c>
      <c r="N1176" s="1">
        <f>+IF(DailyData[[#This Row],[Column2]]=0,0,DailyData[[#This Row],[Date]])</f>
        <v>0</v>
      </c>
    </row>
    <row r="1177" spans="3:14" x14ac:dyDescent="0.25">
      <c r="C1177" s="1">
        <v>45964</v>
      </c>
      <c r="D1177" s="2" t="s">
        <v>12</v>
      </c>
      <c r="E1177">
        <v>16361</v>
      </c>
      <c r="F1177">
        <v>43.45</v>
      </c>
      <c r="G1177">
        <v>43.65</v>
      </c>
      <c r="H1177">
        <v>43.07</v>
      </c>
      <c r="I1177">
        <v>43.37</v>
      </c>
      <c r="J1177">
        <v>5473353</v>
      </c>
      <c r="K1177">
        <v>709576.55</v>
      </c>
      <c r="L1177">
        <f t="shared" si="19"/>
        <v>0</v>
      </c>
      <c r="M1177">
        <f>+IF(DailyData[[#This Row],[Column1]]&gt;0,DailyData[[#This Row],[Column1]]-L1164,0)</f>
        <v>0</v>
      </c>
      <c r="N1177" s="1">
        <f>+IF(DailyData[[#This Row],[Column2]]=0,0,DailyData[[#This Row],[Date]])</f>
        <v>0</v>
      </c>
    </row>
    <row r="1178" spans="3:14" x14ac:dyDescent="0.25">
      <c r="C1178" s="1">
        <v>45964</v>
      </c>
      <c r="D1178" s="2" t="s">
        <v>13</v>
      </c>
      <c r="E1178">
        <v>44090</v>
      </c>
      <c r="F1178">
        <v>1.2E-2</v>
      </c>
      <c r="G1178">
        <v>1.2E-2</v>
      </c>
      <c r="H1178">
        <v>0.01</v>
      </c>
      <c r="I1178">
        <v>1.0999999999999999E-2</v>
      </c>
      <c r="J1178">
        <v>15361396</v>
      </c>
      <c r="K1178">
        <v>484.99</v>
      </c>
      <c r="L1178">
        <f t="shared" si="19"/>
        <v>0</v>
      </c>
      <c r="M1178">
        <f>+IF(DailyData[[#This Row],[Column1]]&gt;0,DailyData[[#This Row],[Column1]]-L1165,0)</f>
        <v>0</v>
      </c>
      <c r="N1178" s="1">
        <f>+IF(DailyData[[#This Row],[Column2]]=0,0,DailyData[[#This Row],[Date]])</f>
        <v>0</v>
      </c>
    </row>
    <row r="1179" spans="3:14" x14ac:dyDescent="0.25">
      <c r="C1179" s="1">
        <v>45964</v>
      </c>
      <c r="D1179" s="2" t="s">
        <v>14</v>
      </c>
      <c r="E1179">
        <v>0</v>
      </c>
      <c r="F1179">
        <v>170.95</v>
      </c>
      <c r="G1179">
        <v>175.64</v>
      </c>
      <c r="H1179">
        <v>170.16</v>
      </c>
      <c r="I1179">
        <v>175.54</v>
      </c>
      <c r="J1179">
        <v>1974438</v>
      </c>
      <c r="K1179">
        <v>0</v>
      </c>
      <c r="L1179">
        <f t="shared" si="19"/>
        <v>0</v>
      </c>
      <c r="M1179">
        <f>+IF(DailyData[[#This Row],[Column1]]&gt;0,DailyData[[#This Row],[Column1]]-L1166,0)</f>
        <v>0</v>
      </c>
      <c r="N1179" s="1">
        <f>+IF(DailyData[[#This Row],[Column2]]=0,0,DailyData[[#This Row],[Date]])</f>
        <v>0</v>
      </c>
    </row>
    <row r="1180" spans="3:14" x14ac:dyDescent="0.25">
      <c r="C1180" s="1">
        <v>45964</v>
      </c>
      <c r="D1180" s="2" t="s">
        <v>15</v>
      </c>
      <c r="E1180">
        <v>10000</v>
      </c>
      <c r="F1180">
        <v>0.41</v>
      </c>
      <c r="G1180">
        <v>0.41499999999999998</v>
      </c>
      <c r="H1180">
        <v>0.38500000000000001</v>
      </c>
      <c r="I1180">
        <v>0.38500000000000001</v>
      </c>
      <c r="J1180">
        <v>533331</v>
      </c>
      <c r="K1180">
        <v>3850</v>
      </c>
      <c r="L1180">
        <f t="shared" si="19"/>
        <v>0</v>
      </c>
      <c r="M1180">
        <f>+IF(DailyData[[#This Row],[Column1]]&gt;0,DailyData[[#This Row],[Column1]]-L1167,0)</f>
        <v>0</v>
      </c>
      <c r="N1180" s="1">
        <f>+IF(DailyData[[#This Row],[Column2]]=0,0,DailyData[[#This Row],[Date]])</f>
        <v>0</v>
      </c>
    </row>
    <row r="1181" spans="3:14" x14ac:dyDescent="0.25">
      <c r="C1181" s="1">
        <v>45964</v>
      </c>
      <c r="D1181" s="2" t="s">
        <v>16</v>
      </c>
      <c r="E1181">
        <v>20000</v>
      </c>
      <c r="F1181">
        <v>0.31</v>
      </c>
      <c r="G1181">
        <v>0.315</v>
      </c>
      <c r="H1181">
        <v>0.3</v>
      </c>
      <c r="I1181">
        <v>0.30499999999999999</v>
      </c>
      <c r="J1181">
        <v>359305</v>
      </c>
      <c r="K1181">
        <v>6100</v>
      </c>
      <c r="L1181">
        <f t="shared" si="19"/>
        <v>0</v>
      </c>
      <c r="M1181">
        <f>+IF(DailyData[[#This Row],[Column1]]&gt;0,DailyData[[#This Row],[Column1]]-L1168,0)</f>
        <v>0</v>
      </c>
      <c r="N1181" s="1">
        <f>+IF(DailyData[[#This Row],[Column2]]=0,0,DailyData[[#This Row],[Date]])</f>
        <v>0</v>
      </c>
    </row>
    <row r="1182" spans="3:14" x14ac:dyDescent="0.25">
      <c r="C1182" s="1">
        <v>45964</v>
      </c>
      <c r="D1182" s="2" t="s">
        <v>17</v>
      </c>
      <c r="E1182">
        <v>700000</v>
      </c>
      <c r="F1182">
        <v>3.0000000000000001E-3</v>
      </c>
      <c r="G1182">
        <v>3.0000000000000001E-3</v>
      </c>
      <c r="H1182">
        <v>2E-3</v>
      </c>
      <c r="I1182">
        <v>3.0000000000000001E-3</v>
      </c>
      <c r="J1182">
        <v>3144101</v>
      </c>
      <c r="K1182">
        <v>2100</v>
      </c>
      <c r="L1182">
        <f t="shared" si="19"/>
        <v>0</v>
      </c>
      <c r="M1182">
        <f>+IF(DailyData[[#This Row],[Column1]]&gt;0,DailyData[[#This Row],[Column1]]-L1169,0)</f>
        <v>0</v>
      </c>
      <c r="N1182" s="1">
        <f>+IF(DailyData[[#This Row],[Column2]]=0,0,DailyData[[#This Row],[Date]])</f>
        <v>0</v>
      </c>
    </row>
    <row r="1183" spans="3:14" x14ac:dyDescent="0.25">
      <c r="C1183" s="1">
        <v>45964</v>
      </c>
      <c r="D1183" s="2" t="s">
        <v>18</v>
      </c>
      <c r="E1183">
        <v>9412</v>
      </c>
      <c r="F1183">
        <v>0.28499999999999998</v>
      </c>
      <c r="G1183">
        <v>0.3</v>
      </c>
      <c r="H1183">
        <v>0.27</v>
      </c>
      <c r="I1183">
        <v>0.27500000000000002</v>
      </c>
      <c r="J1183">
        <v>342961</v>
      </c>
      <c r="K1183">
        <v>2588.3000000000002</v>
      </c>
      <c r="L1183">
        <f t="shared" si="19"/>
        <v>0</v>
      </c>
      <c r="M1183">
        <f>+IF(DailyData[[#This Row],[Column1]]&gt;0,DailyData[[#This Row],[Column1]]-L1170,0)</f>
        <v>0</v>
      </c>
      <c r="N1183" s="1">
        <f>+IF(DailyData[[#This Row],[Column2]]=0,0,DailyData[[#This Row],[Date]])</f>
        <v>0</v>
      </c>
    </row>
    <row r="1184" spans="3:14" x14ac:dyDescent="0.25">
      <c r="C1184" s="1">
        <v>45964</v>
      </c>
      <c r="D1184" s="2" t="s">
        <v>19</v>
      </c>
      <c r="E1184">
        <v>6000</v>
      </c>
      <c r="F1184">
        <v>0.245</v>
      </c>
      <c r="G1184">
        <v>0.32200000000000001</v>
      </c>
      <c r="H1184">
        <v>0.245</v>
      </c>
      <c r="I1184">
        <v>0.3</v>
      </c>
      <c r="J1184">
        <v>1981494</v>
      </c>
      <c r="K1184">
        <v>1800</v>
      </c>
      <c r="L1184">
        <f t="shared" si="19"/>
        <v>0</v>
      </c>
      <c r="M1184">
        <f>+IF(DailyData[[#This Row],[Column1]]&gt;0,DailyData[[#This Row],[Column1]]-L1171,0)</f>
        <v>0</v>
      </c>
      <c r="N1184" s="1">
        <f>+IF(DailyData[[#This Row],[Column2]]=0,0,DailyData[[#This Row],[Date]])</f>
        <v>0</v>
      </c>
    </row>
    <row r="1185" spans="3:14" x14ac:dyDescent="0.25">
      <c r="C1185" s="1">
        <v>45964</v>
      </c>
      <c r="D1185" s="2" t="s">
        <v>20</v>
      </c>
      <c r="E1185">
        <v>0</v>
      </c>
      <c r="F1185">
        <v>38.5</v>
      </c>
      <c r="G1185">
        <v>40.075000000000003</v>
      </c>
      <c r="H1185">
        <v>38.119999999999997</v>
      </c>
      <c r="I1185">
        <v>39.82</v>
      </c>
      <c r="J1185">
        <v>6777160</v>
      </c>
      <c r="K1185">
        <v>0</v>
      </c>
      <c r="L1185">
        <f t="shared" si="19"/>
        <v>0</v>
      </c>
      <c r="M1185">
        <f>+IF(DailyData[[#This Row],[Column1]]&gt;0,DailyData[[#This Row],[Column1]]-L1172,0)</f>
        <v>0</v>
      </c>
      <c r="N1185" s="1">
        <f>+IF(DailyData[[#This Row],[Column2]]=0,0,DailyData[[#This Row],[Date]])</f>
        <v>0</v>
      </c>
    </row>
    <row r="1186" spans="3:14" x14ac:dyDescent="0.25">
      <c r="C1186" s="1">
        <v>45964</v>
      </c>
      <c r="D1186" s="2" t="s">
        <v>21</v>
      </c>
      <c r="E1186">
        <v>1288</v>
      </c>
      <c r="F1186">
        <v>24.8</v>
      </c>
      <c r="G1186">
        <v>25.184999999999999</v>
      </c>
      <c r="H1186">
        <v>24.79</v>
      </c>
      <c r="I1186">
        <v>25.12</v>
      </c>
      <c r="J1186">
        <v>3448707</v>
      </c>
      <c r="K1186">
        <v>32354.560000000001</v>
      </c>
      <c r="L1186">
        <f t="shared" si="19"/>
        <v>1090873.0900000001</v>
      </c>
      <c r="M1186">
        <f>+IF(DailyData[[#This Row],[Column1]]&gt;0,DailyData[[#This Row],[Column1]]-L1173,0)</f>
        <v>-5478.6899999999441</v>
      </c>
      <c r="N1186" s="1">
        <f>+IF(DailyData[[#This Row],[Column2]]=0,0,DailyData[[#This Row],[Date]])</f>
        <v>45964</v>
      </c>
    </row>
    <row r="1187" spans="3:14" x14ac:dyDescent="0.25">
      <c r="C1187" s="1">
        <v>45965</v>
      </c>
      <c r="D1187" s="2" t="s">
        <v>9</v>
      </c>
      <c r="E1187">
        <v>153181</v>
      </c>
      <c r="F1187">
        <v>1.02</v>
      </c>
      <c r="G1187">
        <v>1.04</v>
      </c>
      <c r="H1187">
        <v>1.0069999999999999</v>
      </c>
      <c r="I1187">
        <v>1.03</v>
      </c>
      <c r="J1187">
        <v>3889171</v>
      </c>
      <c r="K1187">
        <v>157776.43</v>
      </c>
      <c r="L1187">
        <f t="shared" si="19"/>
        <v>0</v>
      </c>
      <c r="M1187">
        <f>+IF(DailyData[[#This Row],[Column1]]&gt;0,DailyData[[#This Row],[Column1]]-L1174,0)</f>
        <v>0</v>
      </c>
      <c r="N1187" s="1">
        <f>+IF(DailyData[[#This Row],[Column2]]=0,0,DailyData[[#This Row],[Date]])</f>
        <v>0</v>
      </c>
    </row>
    <row r="1188" spans="3:14" x14ac:dyDescent="0.25">
      <c r="C1188" s="1">
        <v>45965</v>
      </c>
      <c r="D1188" s="2" t="s">
        <v>10</v>
      </c>
      <c r="E1188">
        <v>70000</v>
      </c>
      <c r="F1188">
        <v>1.75</v>
      </c>
      <c r="G1188">
        <v>1.77</v>
      </c>
      <c r="H1188">
        <v>1.74</v>
      </c>
      <c r="I1188">
        <v>1.75</v>
      </c>
      <c r="J1188">
        <v>3950433</v>
      </c>
      <c r="K1188">
        <v>122500</v>
      </c>
      <c r="L1188">
        <f t="shared" si="19"/>
        <v>0</v>
      </c>
      <c r="M1188">
        <f>+IF(DailyData[[#This Row],[Column1]]&gt;0,DailyData[[#This Row],[Column1]]-L1175,0)</f>
        <v>0</v>
      </c>
      <c r="N1188" s="1">
        <f>+IF(DailyData[[#This Row],[Column2]]=0,0,DailyData[[#This Row],[Date]])</f>
        <v>0</v>
      </c>
    </row>
    <row r="1189" spans="3:14" x14ac:dyDescent="0.25">
      <c r="C1189" s="1">
        <v>45965</v>
      </c>
      <c r="D1189" s="2" t="s">
        <v>11</v>
      </c>
      <c r="E1189">
        <v>57458</v>
      </c>
      <c r="F1189">
        <v>0.90500000000000003</v>
      </c>
      <c r="G1189">
        <v>0.90500000000000003</v>
      </c>
      <c r="H1189">
        <v>0.84</v>
      </c>
      <c r="I1189">
        <v>0.875</v>
      </c>
      <c r="J1189">
        <v>3108355</v>
      </c>
      <c r="K1189">
        <v>50275.75</v>
      </c>
      <c r="L1189">
        <f t="shared" si="19"/>
        <v>0</v>
      </c>
      <c r="M1189">
        <f>+IF(DailyData[[#This Row],[Column1]]&gt;0,DailyData[[#This Row],[Column1]]-L1176,0)</f>
        <v>0</v>
      </c>
      <c r="N1189" s="1">
        <f>+IF(DailyData[[#This Row],[Column2]]=0,0,DailyData[[#This Row],[Date]])</f>
        <v>0</v>
      </c>
    </row>
    <row r="1190" spans="3:14" x14ac:dyDescent="0.25">
      <c r="C1190" s="1">
        <v>45965</v>
      </c>
      <c r="D1190" s="2" t="s">
        <v>12</v>
      </c>
      <c r="E1190">
        <v>16361</v>
      </c>
      <c r="F1190">
        <v>43</v>
      </c>
      <c r="G1190">
        <v>43.125</v>
      </c>
      <c r="H1190">
        <v>42.51</v>
      </c>
      <c r="I1190">
        <v>42.54</v>
      </c>
      <c r="J1190">
        <v>6399788</v>
      </c>
      <c r="K1190">
        <v>695996.95</v>
      </c>
      <c r="L1190">
        <f t="shared" si="19"/>
        <v>0</v>
      </c>
      <c r="M1190">
        <f>+IF(DailyData[[#This Row],[Column1]]&gt;0,DailyData[[#This Row],[Column1]]-L1177,0)</f>
        <v>0</v>
      </c>
      <c r="N1190" s="1">
        <f>+IF(DailyData[[#This Row],[Column2]]=0,0,DailyData[[#This Row],[Date]])</f>
        <v>0</v>
      </c>
    </row>
    <row r="1191" spans="3:14" x14ac:dyDescent="0.25">
      <c r="C1191" s="1">
        <v>45965</v>
      </c>
      <c r="D1191" s="2" t="s">
        <v>13</v>
      </c>
      <c r="E1191">
        <v>44090</v>
      </c>
      <c r="F1191">
        <v>1.2E-2</v>
      </c>
      <c r="G1191">
        <v>1.2E-2</v>
      </c>
      <c r="H1191">
        <v>1.0999999999999999E-2</v>
      </c>
      <c r="I1191">
        <v>1.0999999999999999E-2</v>
      </c>
      <c r="J1191">
        <v>1185131</v>
      </c>
      <c r="K1191">
        <v>484.99</v>
      </c>
      <c r="L1191">
        <f t="shared" si="19"/>
        <v>0</v>
      </c>
      <c r="M1191">
        <f>+IF(DailyData[[#This Row],[Column1]]&gt;0,DailyData[[#This Row],[Column1]]-L1178,0)</f>
        <v>0</v>
      </c>
      <c r="N1191" s="1">
        <f>+IF(DailyData[[#This Row],[Column2]]=0,0,DailyData[[#This Row],[Date]])</f>
        <v>0</v>
      </c>
    </row>
    <row r="1192" spans="3:14" x14ac:dyDescent="0.25">
      <c r="C1192" s="1">
        <v>45965</v>
      </c>
      <c r="D1192" s="2" t="s">
        <v>14</v>
      </c>
      <c r="E1192">
        <v>0</v>
      </c>
      <c r="F1192">
        <v>174</v>
      </c>
      <c r="G1192">
        <v>175.37</v>
      </c>
      <c r="H1192">
        <v>172.42</v>
      </c>
      <c r="I1192">
        <v>174.11</v>
      </c>
      <c r="J1192">
        <v>1551161</v>
      </c>
      <c r="K1192">
        <v>0</v>
      </c>
      <c r="L1192">
        <f t="shared" si="19"/>
        <v>0</v>
      </c>
      <c r="M1192">
        <f>+IF(DailyData[[#This Row],[Column1]]&gt;0,DailyData[[#This Row],[Column1]]-L1179,0)</f>
        <v>0</v>
      </c>
      <c r="N1192" s="1">
        <f>+IF(DailyData[[#This Row],[Column2]]=0,0,DailyData[[#This Row],[Date]])</f>
        <v>0</v>
      </c>
    </row>
    <row r="1193" spans="3:14" x14ac:dyDescent="0.25">
      <c r="C1193" s="1">
        <v>45965</v>
      </c>
      <c r="D1193" s="2" t="s">
        <v>15</v>
      </c>
      <c r="E1193">
        <v>10000</v>
      </c>
      <c r="F1193">
        <v>0.39</v>
      </c>
      <c r="G1193">
        <v>0.40500000000000003</v>
      </c>
      <c r="H1193">
        <v>0.38</v>
      </c>
      <c r="I1193">
        <v>0.38</v>
      </c>
      <c r="J1193">
        <v>160913</v>
      </c>
      <c r="K1193">
        <v>3800</v>
      </c>
      <c r="L1193">
        <f t="shared" si="19"/>
        <v>0</v>
      </c>
      <c r="M1193">
        <f>+IF(DailyData[[#This Row],[Column1]]&gt;0,DailyData[[#This Row],[Column1]]-L1180,0)</f>
        <v>0</v>
      </c>
      <c r="N1193" s="1">
        <f>+IF(DailyData[[#This Row],[Column2]]=0,0,DailyData[[#This Row],[Date]])</f>
        <v>0</v>
      </c>
    </row>
    <row r="1194" spans="3:14" x14ac:dyDescent="0.25">
      <c r="C1194" s="1">
        <v>45965</v>
      </c>
      <c r="D1194" s="2" t="s">
        <v>16</v>
      </c>
      <c r="E1194">
        <v>20000</v>
      </c>
      <c r="F1194">
        <v>0.30499999999999999</v>
      </c>
      <c r="G1194">
        <v>0.31</v>
      </c>
      <c r="H1194">
        <v>0.3</v>
      </c>
      <c r="I1194">
        <v>0.30499999999999999</v>
      </c>
      <c r="J1194">
        <v>155617</v>
      </c>
      <c r="K1194">
        <v>6100</v>
      </c>
      <c r="L1194">
        <f t="shared" si="19"/>
        <v>0</v>
      </c>
      <c r="M1194">
        <f>+IF(DailyData[[#This Row],[Column1]]&gt;0,DailyData[[#This Row],[Column1]]-L1181,0)</f>
        <v>0</v>
      </c>
      <c r="N1194" s="1">
        <f>+IF(DailyData[[#This Row],[Column2]]=0,0,DailyData[[#This Row],[Date]])</f>
        <v>0</v>
      </c>
    </row>
    <row r="1195" spans="3:14" x14ac:dyDescent="0.25">
      <c r="C1195" s="1">
        <v>45965</v>
      </c>
      <c r="D1195" s="2" t="s">
        <v>17</v>
      </c>
      <c r="E1195">
        <v>700000</v>
      </c>
      <c r="F1195">
        <v>3.0000000000000001E-3</v>
      </c>
      <c r="G1195">
        <v>3.0000000000000001E-3</v>
      </c>
      <c r="H1195">
        <v>2E-3</v>
      </c>
      <c r="I1195">
        <v>2E-3</v>
      </c>
      <c r="J1195">
        <v>1107197</v>
      </c>
      <c r="K1195">
        <v>1400</v>
      </c>
      <c r="L1195">
        <f t="shared" si="19"/>
        <v>0</v>
      </c>
      <c r="M1195">
        <f>+IF(DailyData[[#This Row],[Column1]]&gt;0,DailyData[[#This Row],[Column1]]-L1182,0)</f>
        <v>0</v>
      </c>
      <c r="N1195" s="1">
        <f>+IF(DailyData[[#This Row],[Column2]]=0,0,DailyData[[#This Row],[Date]])</f>
        <v>0</v>
      </c>
    </row>
    <row r="1196" spans="3:14" x14ac:dyDescent="0.25">
      <c r="C1196" s="1">
        <v>45965</v>
      </c>
      <c r="D1196" s="2" t="s">
        <v>18</v>
      </c>
      <c r="E1196">
        <v>9412</v>
      </c>
      <c r="F1196">
        <v>0.29499999999999998</v>
      </c>
      <c r="G1196">
        <v>0.29499999999999998</v>
      </c>
      <c r="H1196">
        <v>0.28499999999999998</v>
      </c>
      <c r="I1196">
        <v>0.29499999999999998</v>
      </c>
      <c r="J1196">
        <v>92891</v>
      </c>
      <c r="K1196">
        <v>2776.54</v>
      </c>
      <c r="L1196">
        <f t="shared" si="19"/>
        <v>0</v>
      </c>
      <c r="M1196">
        <f>+IF(DailyData[[#This Row],[Column1]]&gt;0,DailyData[[#This Row],[Column1]]-L1183,0)</f>
        <v>0</v>
      </c>
      <c r="N1196" s="1">
        <f>+IF(DailyData[[#This Row],[Column2]]=0,0,DailyData[[#This Row],[Date]])</f>
        <v>0</v>
      </c>
    </row>
    <row r="1197" spans="3:14" x14ac:dyDescent="0.25">
      <c r="C1197" s="1">
        <v>45965</v>
      </c>
      <c r="D1197" s="2" t="s">
        <v>19</v>
      </c>
      <c r="E1197">
        <v>6000</v>
      </c>
      <c r="F1197">
        <v>0.29499999999999998</v>
      </c>
      <c r="G1197">
        <v>0.30499999999999999</v>
      </c>
      <c r="H1197">
        <v>0.27</v>
      </c>
      <c r="I1197">
        <v>0.28999999999999998</v>
      </c>
      <c r="J1197">
        <v>1196618</v>
      </c>
      <c r="K1197">
        <v>1740</v>
      </c>
      <c r="L1197">
        <f t="shared" si="19"/>
        <v>0</v>
      </c>
      <c r="M1197">
        <f>+IF(DailyData[[#This Row],[Column1]]&gt;0,DailyData[[#This Row],[Column1]]-L1184,0)</f>
        <v>0</v>
      </c>
      <c r="N1197" s="1">
        <f>+IF(DailyData[[#This Row],[Column2]]=0,0,DailyData[[#This Row],[Date]])</f>
        <v>0</v>
      </c>
    </row>
    <row r="1198" spans="3:14" x14ac:dyDescent="0.25">
      <c r="C1198" s="1">
        <v>45965</v>
      </c>
      <c r="D1198" s="2" t="s">
        <v>20</v>
      </c>
      <c r="E1198">
        <v>0</v>
      </c>
      <c r="F1198">
        <v>39.94</v>
      </c>
      <c r="G1198">
        <v>40.42</v>
      </c>
      <c r="H1198">
        <v>39.520000000000003</v>
      </c>
      <c r="I1198">
        <v>40.42</v>
      </c>
      <c r="J1198">
        <v>6246053</v>
      </c>
      <c r="K1198">
        <v>0</v>
      </c>
      <c r="L1198">
        <f t="shared" si="19"/>
        <v>0</v>
      </c>
      <c r="M1198">
        <f>+IF(DailyData[[#This Row],[Column1]]&gt;0,DailyData[[#This Row],[Column1]]-L1185,0)</f>
        <v>0</v>
      </c>
      <c r="N1198" s="1">
        <f>+IF(DailyData[[#This Row],[Column2]]=0,0,DailyData[[#This Row],[Date]])</f>
        <v>0</v>
      </c>
    </row>
    <row r="1199" spans="3:14" x14ac:dyDescent="0.25">
      <c r="C1199" s="1">
        <v>45965</v>
      </c>
      <c r="D1199" s="2" t="s">
        <v>21</v>
      </c>
      <c r="E1199">
        <v>1288</v>
      </c>
      <c r="F1199">
        <v>25.06</v>
      </c>
      <c r="G1199">
        <v>25.07</v>
      </c>
      <c r="H1199">
        <v>24.85</v>
      </c>
      <c r="I1199">
        <v>24.94</v>
      </c>
      <c r="J1199">
        <v>2495602</v>
      </c>
      <c r="K1199">
        <v>32122.720000000001</v>
      </c>
      <c r="L1199">
        <f t="shared" si="19"/>
        <v>1074973.3799999999</v>
      </c>
      <c r="M1199">
        <f>+IF(DailyData[[#This Row],[Column1]]&gt;0,DailyData[[#This Row],[Column1]]-L1186,0)</f>
        <v>-15899.710000000196</v>
      </c>
      <c r="N1199" s="1">
        <f>+IF(DailyData[[#This Row],[Column2]]=0,0,DailyData[[#This Row],[Date]])</f>
        <v>45965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DC0ABE6-8A1B-4A99-AEEB-E3DAE039B86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Roman Groblicki</dc:creator>
  <cp:lastModifiedBy>Roman Groblicki</cp:lastModifiedBy>
  <dcterms:created xsi:type="dcterms:W3CDTF">2025-11-04T09:11:08Z</dcterms:created>
  <dcterms:modified xsi:type="dcterms:W3CDTF">2025-11-04T09:35:07Z</dcterms:modified>
</cp:coreProperties>
</file>